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jcla\Projects\"/>
    </mc:Choice>
  </mc:AlternateContent>
  <xr:revisionPtr revIDLastSave="0" documentId="13_ncr:1_{BEAF7D61-9F86-457E-8A75-F7280EE77415}" xr6:coauthVersionLast="41" xr6:coauthVersionMax="41" xr10:uidLastSave="{00000000-0000-0000-0000-000000000000}"/>
  <bookViews>
    <workbookView xWindow="-98" yWindow="-98" windowWidth="20715" windowHeight="13276" xr2:uid="{7D6244E2-E3FB-4D13-A224-59AB59C5BD92}"/>
  </bookViews>
  <sheets>
    <sheet name="Configuration" sheetId="1" r:id="rId1"/>
    <sheet name="Output" sheetId="6" r:id="rId2"/>
  </sheets>
  <functionGroups builtInGroupCount="19"/>
  <definedNames>
    <definedName name="_xlnm._FilterDatabase" localSheetId="1" hidden="1">Output!$A$1:$F$1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1" i="1" l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</calcChain>
</file>

<file path=xl/sharedStrings.xml><?xml version="1.0" encoding="utf-8"?>
<sst xmlns="http://schemas.openxmlformats.org/spreadsheetml/2006/main" count="49" uniqueCount="31">
  <si>
    <t>PLACE API TOKEN IN B5:</t>
  </si>
  <si>
    <t>LAST API QUERY:</t>
  </si>
  <si>
    <t>Latitude</t>
  </si>
  <si>
    <t>Longitude</t>
  </si>
  <si>
    <t>Mile radius</t>
  </si>
  <si>
    <t>Name</t>
  </si>
  <si>
    <t>ID</t>
  </si>
  <si>
    <t>3 miles</t>
  </si>
  <si>
    <t>5 miles</t>
  </si>
  <si>
    <t>Input asset information below:</t>
  </si>
  <si>
    <t>Mile radius #2:</t>
  </si>
  <si>
    <t>Mile radius #1:</t>
  </si>
  <si>
    <t>Mile radius #3:</t>
  </si>
  <si>
    <t>Choose three radii below:</t>
  </si>
  <si>
    <t>1 miles</t>
  </si>
  <si>
    <t>Definition</t>
  </si>
  <si>
    <t>METRO AREA: Chicago-Naperville-Arlington Heights, IL</t>
  </si>
  <si>
    <t>METRO AREA: Boston, MA</t>
  </si>
  <si>
    <t>Times Square</t>
  </si>
  <si>
    <t>METRO AREA: New York-Jersey City-White Plains, NY-NJ</t>
  </si>
  <si>
    <t>Market name</t>
  </si>
  <si>
    <t>Population density (2019)</t>
  </si>
  <si>
    <t>US</t>
  </si>
  <si>
    <t>Willis Tower</t>
  </si>
  <si>
    <t>Population (2019)</t>
  </si>
  <si>
    <t>Median household income (2019)</t>
  </si>
  <si>
    <t>Median HHI, 25-34 years old (2019)</t>
  </si>
  <si>
    <t>Median NW, 80+ years old (2019)</t>
  </si>
  <si>
    <t>Median NW, 80+ years old (2024)</t>
  </si>
  <si>
    <t>50 states + DC</t>
  </si>
  <si>
    <t>Boston,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</si>
</sst>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.00_);_([$$-409]* \(#,##0.00\);_([$$-409]* &quot;-&quot;??_);_(@_)"/>
    <numFmt numFmtId="165" formatCode="_([$$-409]* #,##0_);_([$$-409]* \(#,##0\);_([$$-409]* &quot;-&quot;_);_(@_)"/>
    <numFmt numFmtId="166" formatCode="_(* #,##0.0_);_(* \(#,##0.0\);_(* &quot;-&quot;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Franklin Gothic Book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vertical="top" wrapText="1"/>
    </xf>
    <xf numFmtId="0" fontId="2" fillId="0" borderId="0" xfId="0" applyFont="1"/>
    <xf numFmtId="6" fontId="0" fillId="0" borderId="0" xfId="0" applyNumberFormat="1"/>
    <xf numFmtId="0" fontId="5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164" fontId="6" fillId="0" borderId="0" xfId="1" applyNumberFormat="1" applyFont="1" applyAlignment="1">
      <alignment horizontal="right"/>
    </xf>
    <xf numFmtId="0" fontId="5" fillId="0" borderId="1" xfId="0" applyFont="1" applyBorder="1"/>
    <xf numFmtId="0" fontId="5" fillId="0" borderId="3" xfId="0" applyFont="1" applyBorder="1"/>
    <xf numFmtId="0" fontId="0" fillId="0" borderId="2" xfId="0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5" fillId="0" borderId="7" xfId="0" applyFont="1" applyBorder="1"/>
    <xf numFmtId="0" fontId="5" fillId="0" borderId="4" xfId="0" applyFont="1" applyBorder="1"/>
    <xf numFmtId="0" fontId="3" fillId="0" borderId="6" xfId="0" applyFont="1" applyBorder="1"/>
    <xf numFmtId="0" fontId="0" fillId="0" borderId="8" xfId="0" applyBorder="1"/>
    <xf numFmtId="0" fontId="0" fillId="0" borderId="7" xfId="0" applyBorder="1"/>
    <xf numFmtId="0" fontId="0" fillId="0" borderId="4" xfId="0" applyBorder="1"/>
    <xf numFmtId="0" fontId="0" fillId="0" borderId="6" xfId="0" applyBorder="1" applyAlignment="1">
      <alignment horizontal="center" vertical="center"/>
    </xf>
    <xf numFmtId="42" fontId="0" fillId="0" borderId="0" xfId="1" applyNumberFormat="1" applyFont="1"/>
    <xf numFmtId="41" fontId="0" fillId="0" borderId="0" xfId="2" applyNumberFormat="1" applyFont="1"/>
    <xf numFmtId="165" fontId="0" fillId="0" borderId="0" xfId="2" applyNumberFormat="1" applyFont="1"/>
    <xf numFmtId="166" fontId="0" fillId="0" borderId="0" xfId="2" applyNumberFormat="1" applyFont="1"/>
    <xf numFmtId="0" fontId="6" fillId="0" borderId="2" xfId="0" applyFont="1" applyBorder="1"/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7</xdr:row>
          <xdr:rowOff>138113</xdr:rowOff>
        </xdr:from>
        <xdr:to>
          <xdr:col>4</xdr:col>
          <xdr:colOff>1957388</xdr:colOff>
          <xdr:row>10</xdr:row>
          <xdr:rowOff>90488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Franklin Gothic Book"/>
                </a:rPr>
                <a:t>RUN QUERIES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14287</xdr:colOff>
      <xdr:row>0</xdr:row>
      <xdr:rowOff>19051</xdr:rowOff>
    </xdr:from>
    <xdr:to>
      <xdr:col>1</xdr:col>
      <xdr:colOff>1004885</xdr:colOff>
      <xdr:row>2</xdr:row>
      <xdr:rowOff>104194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364"/>
        <a:stretch/>
      </xdr:blipFill>
      <xdr:spPr>
        <a:xfrm>
          <a:off x="14287" y="19051"/>
          <a:ext cx="2867023" cy="4470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BDDA7-43C7-4914-80F9-A40F38FBC3AD}">
  <sheetPr codeName="Sheet1"/>
  <dimension ref="A5:X41"/>
  <sheetViews>
    <sheetView tabSelected="1" workbookViewId="0">
      <selection activeCell="A5" sqref="A5"/>
    </sheetView>
  </sheetViews>
  <sheetFormatPr defaultRowHeight="14.25" x14ac:dyDescent="0.45"/>
  <cols>
    <col min="1" max="1" width="26.265625" bestFit="1" customWidth="1"/>
    <col min="2" max="2" width="45.1328125" customWidth="1"/>
    <col min="5" max="5" width="33.53125" bestFit="1" customWidth="1"/>
    <col min="11" max="11" width="9.06640625" hidden="1" customWidth="1"/>
    <col min="12" max="14" width="9.06640625" customWidth="1"/>
    <col min="24" max="24" width="10.265625" bestFit="1" customWidth="1"/>
  </cols>
  <sheetData>
    <row r="5" spans="1:24" ht="46.9" customHeight="1" x14ac:dyDescent="0.45">
      <c r="A5" s="2" t="s">
        <v>0</v>
      </c>
      <c r="B5" s="1"/>
    </row>
    <row r="6" spans="1:24" ht="21.4" customHeight="1" x14ac:dyDescent="0.45">
      <c r="A6" s="2" t="s">
        <v>1</v>
      </c>
      <c r="B6" s="1"/>
    </row>
    <row r="8" spans="1:24" x14ac:dyDescent="0.45">
      <c r="A8" s="18" t="s">
        <v>13</v>
      </c>
      <c r="B8" s="19"/>
      <c r="K8" t="s">
        <v>4</v>
      </c>
      <c r="X8" s="3"/>
    </row>
    <row r="9" spans="1:24" x14ac:dyDescent="0.45">
      <c r="A9" s="22" t="s">
        <v>11</v>
      </c>
      <c r="B9" s="23">
        <v>1</v>
      </c>
      <c r="K9">
        <v>0.5</v>
      </c>
      <c r="X9" s="3"/>
    </row>
    <row r="10" spans="1:24" x14ac:dyDescent="0.45">
      <c r="A10" s="20" t="s">
        <v>10</v>
      </c>
      <c r="B10" s="23">
        <v>3</v>
      </c>
      <c r="K10">
        <v>1</v>
      </c>
      <c r="X10" s="3"/>
    </row>
    <row r="11" spans="1:24" x14ac:dyDescent="0.45">
      <c r="A11" s="21" t="s">
        <v>12</v>
      </c>
      <c r="B11" s="23">
        <v>5</v>
      </c>
      <c r="K11">
        <v>3</v>
      </c>
      <c r="X11" s="3"/>
    </row>
    <row r="12" spans="1:24" x14ac:dyDescent="0.45">
      <c r="K12">
        <v>5</v>
      </c>
    </row>
    <row r="13" spans="1:24" x14ac:dyDescent="0.45">
      <c r="K13">
        <v>7</v>
      </c>
    </row>
    <row r="14" spans="1:24" x14ac:dyDescent="0.45">
      <c r="A14" s="14" t="s">
        <v>9</v>
      </c>
      <c r="B14" s="15"/>
      <c r="C14" s="15"/>
      <c r="D14" s="16"/>
      <c r="K14">
        <v>10</v>
      </c>
    </row>
    <row r="15" spans="1:24" x14ac:dyDescent="0.45">
      <c r="A15" s="17" t="s">
        <v>6</v>
      </c>
      <c r="B15" s="11" t="s">
        <v>5</v>
      </c>
      <c r="C15" s="11" t="s">
        <v>2</v>
      </c>
      <c r="D15" s="12" t="s">
        <v>3</v>
      </c>
      <c r="E15" s="4"/>
      <c r="F15" s="4"/>
      <c r="K15">
        <v>15</v>
      </c>
    </row>
    <row r="16" spans="1:24" x14ac:dyDescent="0.45">
      <c r="A16" s="6">
        <v>1</v>
      </c>
      <c r="B16" s="5" t="s">
        <v>23</v>
      </c>
      <c r="C16" s="7">
        <v>41.878876400000003</v>
      </c>
      <c r="D16" s="28">
        <v>-87.635914900000003</v>
      </c>
      <c r="K16">
        <v>20</v>
      </c>
    </row>
    <row r="17" spans="1:6" x14ac:dyDescent="0.45">
      <c r="A17" s="6">
        <v>2</v>
      </c>
      <c r="B17" s="5" t="s">
        <v>18</v>
      </c>
      <c r="C17" s="7">
        <v>40.758895000000003</v>
      </c>
      <c r="D17" s="28">
        <v>-73.9873197</v>
      </c>
    </row>
    <row r="18" spans="1:6" x14ac:dyDescent="0.45">
      <c r="A18" s="6">
        <v>3</v>
      </c>
      <c r="B18" s="5" t="s">
        <v>30</v>
      </c>
      <c r="C18" s="7">
        <v>42.314264700000003</v>
      </c>
      <c r="D18" s="28">
        <v>-71.110367400000001</v>
      </c>
    </row>
    <row r="19" spans="1:6" x14ac:dyDescent="0.45">
      <c r="A19" s="8"/>
      <c r="B19" s="4"/>
      <c r="C19" s="9"/>
      <c r="D19" s="28"/>
      <c r="F19" t="str">
        <f t="shared" ref="F19:F41" si="0">IFERROR(VLOOKUP(E19,M$9:N$409,2,FALSE),"")</f>
        <v/>
      </c>
    </row>
    <row r="20" spans="1:6" x14ac:dyDescent="0.45">
      <c r="A20" s="8"/>
      <c r="B20" s="4"/>
      <c r="C20" s="9"/>
      <c r="D20" s="28"/>
      <c r="F20" t="str">
        <f t="shared" si="0"/>
        <v/>
      </c>
    </row>
    <row r="21" spans="1:6" x14ac:dyDescent="0.45">
      <c r="A21" s="8"/>
      <c r="B21" s="4"/>
      <c r="C21" s="7"/>
      <c r="D21" s="28"/>
      <c r="F21" t="str">
        <f t="shared" si="0"/>
        <v/>
      </c>
    </row>
    <row r="22" spans="1:6" x14ac:dyDescent="0.45">
      <c r="A22" s="8"/>
      <c r="B22" s="4"/>
      <c r="C22" s="10"/>
      <c r="D22" s="28"/>
      <c r="F22" t="str">
        <f t="shared" si="0"/>
        <v/>
      </c>
    </row>
    <row r="23" spans="1:6" x14ac:dyDescent="0.45">
      <c r="A23" s="8"/>
      <c r="B23" s="4"/>
      <c r="C23" s="9"/>
      <c r="D23" s="28"/>
      <c r="F23" t="str">
        <f t="shared" si="0"/>
        <v/>
      </c>
    </row>
    <row r="24" spans="1:6" x14ac:dyDescent="0.45">
      <c r="A24" s="8"/>
      <c r="B24" s="4"/>
      <c r="C24" s="4"/>
      <c r="D24" s="28"/>
      <c r="F24" t="str">
        <f t="shared" si="0"/>
        <v/>
      </c>
    </row>
    <row r="25" spans="1:6" x14ac:dyDescent="0.45">
      <c r="A25" s="8"/>
      <c r="B25" s="4"/>
      <c r="C25" s="5"/>
      <c r="D25" s="28"/>
      <c r="F25" t="str">
        <f t="shared" si="0"/>
        <v/>
      </c>
    </row>
    <row r="26" spans="1:6" x14ac:dyDescent="0.45">
      <c r="A26" s="8"/>
      <c r="B26" s="4"/>
      <c r="C26" s="5"/>
      <c r="D26" s="28"/>
      <c r="F26" t="str">
        <f t="shared" si="0"/>
        <v/>
      </c>
    </row>
    <row r="27" spans="1:6" x14ac:dyDescent="0.45">
      <c r="A27" s="5"/>
      <c r="B27" s="5"/>
      <c r="C27" s="5"/>
      <c r="D27" s="28"/>
      <c r="F27" t="str">
        <f t="shared" si="0"/>
        <v/>
      </c>
    </row>
    <row r="28" spans="1:6" x14ac:dyDescent="0.45">
      <c r="D28" s="13"/>
      <c r="F28" t="str">
        <f t="shared" si="0"/>
        <v/>
      </c>
    </row>
    <row r="29" spans="1:6" x14ac:dyDescent="0.45">
      <c r="D29" s="13"/>
      <c r="F29" t="str">
        <f t="shared" si="0"/>
        <v/>
      </c>
    </row>
    <row r="30" spans="1:6" x14ac:dyDescent="0.45">
      <c r="D30" s="13"/>
      <c r="F30" t="str">
        <f t="shared" si="0"/>
        <v/>
      </c>
    </row>
    <row r="31" spans="1:6" x14ac:dyDescent="0.45">
      <c r="D31" s="13"/>
      <c r="F31" t="str">
        <f t="shared" si="0"/>
        <v/>
      </c>
    </row>
    <row r="32" spans="1:6" x14ac:dyDescent="0.45">
      <c r="D32" s="13"/>
      <c r="F32" t="str">
        <f t="shared" si="0"/>
        <v/>
      </c>
    </row>
    <row r="33" spans="4:6" x14ac:dyDescent="0.45">
      <c r="D33" s="13"/>
      <c r="F33" t="str">
        <f t="shared" si="0"/>
        <v/>
      </c>
    </row>
    <row r="34" spans="4:6" x14ac:dyDescent="0.45">
      <c r="D34" s="13"/>
      <c r="F34" t="str">
        <f t="shared" si="0"/>
        <v/>
      </c>
    </row>
    <row r="35" spans="4:6" x14ac:dyDescent="0.45">
      <c r="D35" s="13"/>
      <c r="F35" t="str">
        <f t="shared" si="0"/>
        <v/>
      </c>
    </row>
    <row r="36" spans="4:6" x14ac:dyDescent="0.45">
      <c r="D36" s="13"/>
      <c r="F36" t="str">
        <f t="shared" si="0"/>
        <v/>
      </c>
    </row>
    <row r="37" spans="4:6" x14ac:dyDescent="0.45">
      <c r="D37" s="13"/>
      <c r="F37" t="str">
        <f t="shared" si="0"/>
        <v/>
      </c>
    </row>
    <row r="38" spans="4:6" x14ac:dyDescent="0.45">
      <c r="D38" s="13"/>
      <c r="F38" t="str">
        <f t="shared" si="0"/>
        <v/>
      </c>
    </row>
    <row r="39" spans="4:6" x14ac:dyDescent="0.45">
      <c r="D39" s="13"/>
      <c r="F39" t="str">
        <f t="shared" si="0"/>
        <v/>
      </c>
    </row>
    <row r="40" spans="4:6" x14ac:dyDescent="0.45">
      <c r="D40" s="13"/>
      <c r="F40" t="str">
        <f t="shared" si="0"/>
        <v/>
      </c>
    </row>
    <row r="41" spans="4:6" x14ac:dyDescent="0.45">
      <c r="F41" t="str">
        <f t="shared" si="0"/>
        <v/>
      </c>
    </row>
  </sheetData>
  <sortState xmlns:xlrd2="http://schemas.microsoft.com/office/spreadsheetml/2017/richdata2" ref="M9:N409">
    <sortCondition ref="M9:M409"/>
  </sortState>
  <dataConsolidate/>
  <dataValidations count="4">
    <dataValidation type="list" allowBlank="1" showInputMessage="1" showErrorMessage="1" sqref="C21" xr:uid="{9F652405-9454-4467-AF84-27D54D0E1874}">
      <formula1>$U$8:$U$12</formula1>
    </dataValidation>
    <dataValidation type="list" allowBlank="1" showInputMessage="1" showErrorMessage="1" sqref="C22" xr:uid="{4317FC17-D17C-4268-A680-3FA35F27DBDA}">
      <formula1>$X$8:$X$11</formula1>
    </dataValidation>
    <dataValidation type="list" allowBlank="1" showInputMessage="1" showErrorMessage="1" sqref="E16:E41" xr:uid="{2C9E8358-B788-4FD7-A6C3-1C503BF190F1}">
      <formula1>$M$9:$M$409</formula1>
    </dataValidation>
    <dataValidation type="list" allowBlank="1" showInputMessage="1" showErrorMessage="1" sqref="B9:B11" xr:uid="{2348B10B-0E6A-4390-B5F8-E14A53761056}">
      <formula1>$K$9:$K$16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Query">
                <anchor moveWithCells="1" sizeWithCells="1">
                  <from>
                    <xdr:col>3</xdr:col>
                    <xdr:colOff>76200</xdr:colOff>
                    <xdr:row>7</xdr:row>
                    <xdr:rowOff>138113</xdr:rowOff>
                  </from>
                  <to>
                    <xdr:col>4</xdr:col>
                    <xdr:colOff>1957388</xdr:colOff>
                    <xdr:row>10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8798A-27E9-433C-9F5B-F946A80A4A1F}">
  <sheetPr codeName="Sheet2"/>
  <dimension ref="A1:K14"/>
  <sheetViews>
    <sheetView workbookViewId="0">
      <pane ySplit="1" topLeftCell="A2" activePane="bottomLeft" state="frozen"/>
      <selection pane="bottomLeft" activeCell="A3" sqref="A3"/>
    </sheetView>
  </sheetViews>
  <sheetFormatPr defaultRowHeight="14.25" x14ac:dyDescent="0.45"/>
  <cols>
    <col min="1" max="1" width="22.06640625" bestFit="1" customWidth="1"/>
    <col min="2" max="2" width="45.33203125" bestFit="1" customWidth="1"/>
    <col min="3" max="3" width="19.6640625" style="25" bestFit="1" customWidth="1"/>
    <col min="4" max="4" width="19.6640625" style="26" bestFit="1" customWidth="1"/>
    <col min="5" max="5" width="30.796875" style="27" bestFit="1" customWidth="1"/>
    <col min="6" max="6" width="33.46484375" style="24" bestFit="1" customWidth="1"/>
    <col min="7" max="8" width="34.265625" style="24" bestFit="1" customWidth="1"/>
    <col min="9" max="10" width="19.6640625" style="25" bestFit="1" customWidth="1"/>
    <col min="11" max="11" width="22.46484375" style="25" bestFit="1" customWidth="1"/>
  </cols>
  <sheetData>
    <row r="1" spans="1:8" x14ac:dyDescent="0.45">
      <c r="A1" t="s">
        <v>20</v>
      </c>
      <c r="B1" t="s">
        <v>15</v>
      </c>
      <c r="C1" s="25" t="s">
        <v>24</v>
      </c>
      <c r="D1" s="26" t="s">
        <v>25</v>
      </c>
      <c r="E1" s="27" t="s">
        <v>21</v>
      </c>
      <c r="F1" s="24" t="s">
        <v>26</v>
      </c>
      <c r="G1" s="24" t="s">
        <v>27</v>
      </c>
      <c r="H1" s="24" t="s">
        <v>28</v>
      </c>
    </row>
    <row r="2" spans="1:8" x14ac:dyDescent="0.45">
      <c r="A2" t="s">
        <v>22</v>
      </c>
      <c r="B2" t="s">
        <v>29</v>
      </c>
      <c r="C2" s="25">
        <v>330362216.41516</v>
      </c>
      <c r="D2" s="26">
        <v>62694</v>
      </c>
      <c r="E2" s="27">
        <v>91.566203560397</v>
      </c>
      <c r="F2" s="24">
        <v>59419</v>
      </c>
      <c r="G2" s="24">
        <v>215990</v>
      </c>
      <c r="H2" s="24">
        <v>235913</v>
      </c>
    </row>
    <row r="3" spans="1:8" x14ac:dyDescent="0.45">
      <c r="A3" t="s">
        <v>23</v>
      </c>
      <c r="B3" t="s">
        <v>14</v>
      </c>
      <c r="C3" s="25">
        <v>44594.427396220599</v>
      </c>
      <c r="D3" s="26">
        <v>114446</v>
      </c>
      <c r="E3" s="27">
        <v>14194.847108876178</v>
      </c>
      <c r="F3" s="24">
        <v>121153</v>
      </c>
      <c r="G3" s="24">
        <v>315221</v>
      </c>
      <c r="H3" s="24">
        <v>342261</v>
      </c>
    </row>
    <row r="4" spans="1:8" x14ac:dyDescent="0.45">
      <c r="A4" t="s">
        <v>23</v>
      </c>
      <c r="B4" t="s">
        <v>7</v>
      </c>
      <c r="C4" s="25">
        <v>330830.77000768197</v>
      </c>
      <c r="D4" s="26">
        <v>82211</v>
      </c>
      <c r="E4" s="27">
        <v>11700.744971919044</v>
      </c>
      <c r="F4" s="24">
        <v>93819</v>
      </c>
      <c r="G4" s="24">
        <v>228734</v>
      </c>
      <c r="H4" s="24">
        <v>243792</v>
      </c>
    </row>
    <row r="5" spans="1:8" x14ac:dyDescent="0.45">
      <c r="A5" t="s">
        <v>23</v>
      </c>
      <c r="B5" t="s">
        <v>8</v>
      </c>
      <c r="C5" s="25">
        <v>816711.36028425605</v>
      </c>
      <c r="D5" s="26">
        <v>68795</v>
      </c>
      <c r="E5" s="27">
        <v>10398.692005489553</v>
      </c>
      <c r="F5" s="24">
        <v>81604</v>
      </c>
      <c r="G5" s="24">
        <v>204049</v>
      </c>
      <c r="H5" s="24">
        <v>217692</v>
      </c>
    </row>
    <row r="6" spans="1:8" x14ac:dyDescent="0.45">
      <c r="A6" t="s">
        <v>23</v>
      </c>
      <c r="B6" t="s">
        <v>16</v>
      </c>
      <c r="C6" s="25">
        <v>7390095.5123412497</v>
      </c>
      <c r="D6" s="26">
        <v>69966</v>
      </c>
      <c r="E6" s="27">
        <v>2106.8192555297483</v>
      </c>
      <c r="F6" s="24">
        <v>69861</v>
      </c>
      <c r="G6" s="24">
        <v>226736</v>
      </c>
      <c r="H6" s="24">
        <v>241146</v>
      </c>
    </row>
    <row r="7" spans="1:8" x14ac:dyDescent="0.45">
      <c r="A7" t="s">
        <v>18</v>
      </c>
      <c r="B7" t="s">
        <v>14</v>
      </c>
      <c r="C7" s="25">
        <v>129178.85408721599</v>
      </c>
      <c r="D7" s="26">
        <v>128865</v>
      </c>
      <c r="E7" s="27">
        <v>41118.906341720634</v>
      </c>
      <c r="F7" s="24">
        <v>168627</v>
      </c>
      <c r="G7" s="24">
        <v>148362</v>
      </c>
      <c r="H7" s="24">
        <v>241726</v>
      </c>
    </row>
    <row r="8" spans="1:8" x14ac:dyDescent="0.45">
      <c r="A8" t="s">
        <v>18</v>
      </c>
      <c r="B8" t="s">
        <v>7</v>
      </c>
      <c r="C8" s="25">
        <v>1311078.8774152</v>
      </c>
      <c r="D8" s="26">
        <v>115243</v>
      </c>
      <c r="E8" s="27">
        <v>46369.929805347165</v>
      </c>
      <c r="F8" s="24">
        <v>153152</v>
      </c>
      <c r="G8" s="24">
        <v>175022</v>
      </c>
      <c r="H8" s="24">
        <v>250299</v>
      </c>
    </row>
    <row r="9" spans="1:8" x14ac:dyDescent="0.45">
      <c r="A9" t="s">
        <v>18</v>
      </c>
      <c r="B9" t="s">
        <v>8</v>
      </c>
      <c r="C9" s="25">
        <v>2605971.1159697701</v>
      </c>
      <c r="D9" s="26">
        <v>88473</v>
      </c>
      <c r="E9" s="27">
        <v>33180.254772922279</v>
      </c>
      <c r="F9" s="24">
        <v>118173</v>
      </c>
      <c r="G9" s="24">
        <v>129257</v>
      </c>
      <c r="H9" s="24">
        <v>184624</v>
      </c>
    </row>
    <row r="10" spans="1:8" x14ac:dyDescent="0.45">
      <c r="A10" t="s">
        <v>18</v>
      </c>
      <c r="B10" t="s">
        <v>19</v>
      </c>
      <c r="C10" s="25">
        <v>14745979.586941499</v>
      </c>
      <c r="D10" s="26">
        <v>70861</v>
      </c>
      <c r="E10" s="27">
        <v>3755.6909802094233</v>
      </c>
      <c r="F10" s="24">
        <v>77343</v>
      </c>
      <c r="G10" s="24">
        <v>225863</v>
      </c>
      <c r="H10" s="24">
        <v>253982</v>
      </c>
    </row>
    <row r="11" spans="1:8" x14ac:dyDescent="0.45">
      <c r="A11" t="s">
        <v>30</v>
      </c>
      <c r="B11" t="s">
        <v>14</v>
      </c>
      <c r="C11" s="25">
        <v>43907.231830534904</v>
      </c>
      <c r="D11" s="26">
        <v>74442</v>
      </c>
      <c r="E11" s="27">
        <v>13976.105966577468</v>
      </c>
      <c r="F11" s="24">
        <v>92791</v>
      </c>
      <c r="G11" s="24">
        <v>224596</v>
      </c>
      <c r="H11" s="24">
        <v>263237</v>
      </c>
    </row>
    <row r="12" spans="1:8" x14ac:dyDescent="0.45">
      <c r="A12" t="s">
        <v>30</v>
      </c>
      <c r="B12" t="s">
        <v>7</v>
      </c>
      <c r="C12" s="25">
        <v>458832.24711280997</v>
      </c>
      <c r="D12" s="26">
        <v>61039</v>
      </c>
      <c r="E12" s="27">
        <v>16227.871150663723</v>
      </c>
      <c r="F12" s="24">
        <v>74210</v>
      </c>
      <c r="G12" s="24">
        <v>205573</v>
      </c>
      <c r="H12" s="24">
        <v>236116</v>
      </c>
    </row>
    <row r="13" spans="1:8" x14ac:dyDescent="0.45">
      <c r="A13" t="s">
        <v>30</v>
      </c>
      <c r="B13" t="s">
        <v>8</v>
      </c>
      <c r="C13" s="25">
        <v>904780.30695249897</v>
      </c>
      <c r="D13" s="26">
        <v>72774</v>
      </c>
      <c r="E13" s="27">
        <v>11520.020661101982</v>
      </c>
      <c r="F13" s="24">
        <v>83976</v>
      </c>
      <c r="G13" s="24">
        <v>258317</v>
      </c>
      <c r="H13" s="24">
        <v>301464</v>
      </c>
    </row>
    <row r="14" spans="1:8" x14ac:dyDescent="0.45">
      <c r="A14" t="s">
        <v>30</v>
      </c>
      <c r="B14" t="s">
        <v>17</v>
      </c>
      <c r="C14" s="25">
        <v>2043259.85267465</v>
      </c>
      <c r="D14" s="26">
        <v>80149</v>
      </c>
      <c r="E14" s="27">
        <v>1727.6887308824025</v>
      </c>
      <c r="F14" s="24">
        <v>83973</v>
      </c>
      <c r="G14" s="24">
        <v>283405</v>
      </c>
      <c r="H14" s="24">
        <v>323276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mjcla</dc:creator>
  <cp:lastModifiedBy>mjcla</cp:lastModifiedBy>
  <dcterms:created xsi:type="dcterms:W3CDTF">2019-01-22T16:08:36Z</dcterms:created>
  <dcterms:modified xsi:type="dcterms:W3CDTF">2019-04-02T15:45:05Z</dcterms:modified>
</cp:coreProperties>
</file>