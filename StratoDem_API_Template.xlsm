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jcla\Projects\"/>
    </mc:Choice>
  </mc:AlternateContent>
  <xr:revisionPtr revIDLastSave="0" documentId="13_ncr:1_{65B29BC3-A374-428E-B436-7016A960DA4B}" xr6:coauthVersionLast="40" xr6:coauthVersionMax="40" xr10:uidLastSave="{00000000-0000-0000-0000-000000000000}"/>
  <bookViews>
    <workbookView xWindow="0" yWindow="0" windowWidth="20520" windowHeight="9398" xr2:uid="{7D6244E2-E3FB-4D13-A224-59AB59C5BD92}"/>
  </bookViews>
  <sheets>
    <sheet name="Configuration" sheetId="1" r:id="rId1"/>
    <sheet name="SAMPLE_State_Population" sheetId="3" r:id="rId2"/>
    <sheet name="SAMPLE_County_Median_HHI" sheetId="4" r:id="rId3"/>
    <sheet name="SAMPLE_Tract_NW_Qualified_HH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7" i="1" l="1"/>
  <c r="V7" i="1"/>
  <c r="O10" i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9" i="1"/>
  <c r="S7" i="1"/>
</calcChain>
</file>

<file path=xl/sharedStrings.xml><?xml version="1.0" encoding="utf-8"?>
<sst xmlns="http://schemas.openxmlformats.org/spreadsheetml/2006/main" count="219" uniqueCount="92">
  <si>
    <t>geoid2</t>
  </si>
  <si>
    <t>population</t>
  </si>
  <si>
    <t>year</t>
  </si>
  <si>
    <t>geoid5</t>
  </si>
  <si>
    <t>median_hhi</t>
  </si>
  <si>
    <t>geoid5_name_with_init</t>
  </si>
  <si>
    <t>PLACE API TOKEN IN B5:</t>
  </si>
  <si>
    <t>LAST API QUERY:</t>
  </si>
  <si>
    <t>Select state:</t>
  </si>
  <si>
    <t>Filters: SAMPLE_County_Median_HHI</t>
  </si>
  <si>
    <t>State:</t>
  </si>
  <si>
    <t>New York</t>
  </si>
  <si>
    <t>Massachusetts</t>
  </si>
  <si>
    <t>California</t>
  </si>
  <si>
    <t>Texas</t>
  </si>
  <si>
    <t>Filters: SAMPLE_State_population</t>
  </si>
  <si>
    <t>Years</t>
  </si>
  <si>
    <t>Select a year:</t>
  </si>
  <si>
    <t>Albany County, NY</t>
  </si>
  <si>
    <t>Allegany County, NY</t>
  </si>
  <si>
    <t>Bronx County, NY</t>
  </si>
  <si>
    <t>Broome County, NY</t>
  </si>
  <si>
    <t>Cattaraugus County, NY</t>
  </si>
  <si>
    <t>Cayuga County, NY</t>
  </si>
  <si>
    <t>Chautauqua County, NY</t>
  </si>
  <si>
    <t>Chemung County, NY</t>
  </si>
  <si>
    <t>Chenango County, NY</t>
  </si>
  <si>
    <t>Clinton County, NY</t>
  </si>
  <si>
    <t>Columbia County, NY</t>
  </si>
  <si>
    <t>Cortland County, NY</t>
  </si>
  <si>
    <t>Delaware County, NY</t>
  </si>
  <si>
    <t>Dutchess County, NY</t>
  </si>
  <si>
    <t>Erie County, NY</t>
  </si>
  <si>
    <t>Essex County, NY</t>
  </si>
  <si>
    <t>Franklin County, NY</t>
  </si>
  <si>
    <t>Fulton County, NY</t>
  </si>
  <si>
    <t>Genesee County, NY</t>
  </si>
  <si>
    <t>Greene County, NY</t>
  </si>
  <si>
    <t>Hamilton County, NY</t>
  </si>
  <si>
    <t>Herkimer County, NY</t>
  </si>
  <si>
    <t>Jefferson County, NY</t>
  </si>
  <si>
    <t>Kings County, NY</t>
  </si>
  <si>
    <t>Lewis County, NY</t>
  </si>
  <si>
    <t>Livingston County, NY</t>
  </si>
  <si>
    <t>Madison County, NY</t>
  </si>
  <si>
    <t>Monroe County, NY</t>
  </si>
  <si>
    <t>Montgomery County, NY</t>
  </si>
  <si>
    <t>Nassau County, NY</t>
  </si>
  <si>
    <t>New York County, NY</t>
  </si>
  <si>
    <t>Niagara County, NY</t>
  </si>
  <si>
    <t>Oneida County, NY</t>
  </si>
  <si>
    <t>Onondaga County, NY</t>
  </si>
  <si>
    <t>Ontario County, NY</t>
  </si>
  <si>
    <t>Orange County, NY</t>
  </si>
  <si>
    <t>Orleans County, NY</t>
  </si>
  <si>
    <t>Oswego County, NY</t>
  </si>
  <si>
    <t>Otsego County, NY</t>
  </si>
  <si>
    <t>Putnam County, NY</t>
  </si>
  <si>
    <t>Queens County, NY</t>
  </si>
  <si>
    <t>Rensselaer County, NY</t>
  </si>
  <si>
    <t>Richmond County, NY</t>
  </si>
  <si>
    <t>Rockland County, NY</t>
  </si>
  <si>
    <t>St. Lawrence County, NY</t>
  </si>
  <si>
    <t>Saratoga County, NY</t>
  </si>
  <si>
    <t>Schenectady County, NY</t>
  </si>
  <si>
    <t>Schoharie County, NY</t>
  </si>
  <si>
    <t>Schuyler County, NY</t>
  </si>
  <si>
    <t>Seneca County, NY</t>
  </si>
  <si>
    <t>Steuben County, NY</t>
  </si>
  <si>
    <t>Suffolk County, NY</t>
  </si>
  <si>
    <t>Sullivan County, NY</t>
  </si>
  <si>
    <t>Tioga County, NY</t>
  </si>
  <si>
    <t>Tompkins County, NY</t>
  </si>
  <si>
    <t>Ulster County, NY</t>
  </si>
  <si>
    <t>Warren County, NY</t>
  </si>
  <si>
    <t>Washington County, NY</t>
  </si>
  <si>
    <t>Wayne County, NY</t>
  </si>
  <si>
    <t>Westchester County, NY</t>
  </si>
  <si>
    <t>Wyoming County, NY</t>
  </si>
  <si>
    <t>Yates County, NY</t>
  </si>
  <si>
    <t>Age</t>
  </si>
  <si>
    <t>Net worth</t>
  </si>
  <si>
    <t>FILTERS: SAMPLE_Tract_NW_Qualified_HH</t>
  </si>
  <si>
    <t>Select a minimum net worth threshold:</t>
  </si>
  <si>
    <t>Select a minimum householder age:</t>
  </si>
  <si>
    <t>65+</t>
  </si>
  <si>
    <t>70+</t>
  </si>
  <si>
    <t>75+</t>
  </si>
  <si>
    <t>80+</t>
  </si>
  <si>
    <t>85+</t>
  </si>
  <si>
    <t>geoid11</t>
  </si>
  <si>
    <t>hh_age_80_plus_nw_100000_plus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</si>
</sst>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Franklin Gothic Book"/>
      <family val="2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Border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3" fillId="0" borderId="0" xfId="0" applyFont="1"/>
    <xf numFmtId="0" fontId="4" fillId="2" borderId="0" xfId="0" applyFont="1" applyFill="1"/>
    <xf numFmtId="0" fontId="2" fillId="2" borderId="0" xfId="0" applyFont="1" applyFill="1"/>
    <xf numFmtId="0" fontId="4" fillId="0" borderId="0" xfId="0" applyFont="1" applyFill="1"/>
    <xf numFmtId="6" fontId="0" fillId="0" borderId="0" xfId="0" applyNumberFormat="1"/>
    <xf numFmtId="0" fontId="4" fillId="2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164" fontId="4" fillId="2" borderId="0" xfId="1" applyNumberFormat="1" applyFont="1" applyFill="1" applyAlignment="1">
      <alignment horizontal="righ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23809</xdr:colOff>
          <xdr:row>8</xdr:row>
          <xdr:rowOff>166693</xdr:rowOff>
        </xdr:from>
        <xdr:to>
          <xdr:col>7</xdr:col>
          <xdr:colOff>9516</xdr:colOff>
          <xdr:row>12</xdr:row>
          <xdr:rowOff>4764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7CEDD9D-8DA6-4215-AB4E-49096DC7E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Franklin Gothic Book"/>
                </a:rPr>
                <a:t>RUN SAMPLE QUERIES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38102</xdr:colOff>
      <xdr:row>0</xdr:row>
      <xdr:rowOff>19051</xdr:rowOff>
    </xdr:from>
    <xdr:to>
      <xdr:col>1</xdr:col>
      <xdr:colOff>2223935</xdr:colOff>
      <xdr:row>3</xdr:row>
      <xdr:rowOff>157163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8DE76D1-AC5A-4209-AFC5-454D1234F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2" y="19051"/>
          <a:ext cx="4614708" cy="6810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BDDA7-43C7-4914-80F9-A40F38FBC3AD}">
  <sheetPr codeName="Sheet1"/>
  <dimension ref="A2:Y34"/>
  <sheetViews>
    <sheetView tabSelected="1" workbookViewId="0">
      <selection activeCell="B5" sqref="B5"/>
    </sheetView>
  </sheetViews>
  <sheetFormatPr defaultRowHeight="14.25" x14ac:dyDescent="0.45"/>
  <cols>
    <col min="1" max="1" width="34" customWidth="1"/>
    <col min="2" max="2" width="45.1328125" customWidth="1"/>
    <col min="24" max="24" width="10.265625" bestFit="1" customWidth="1"/>
  </cols>
  <sheetData>
    <row r="2" spans="1:25" x14ac:dyDescent="0.45">
      <c r="E2" s="1"/>
    </row>
    <row r="5" spans="1:25" ht="76.150000000000006" customHeight="1" x14ac:dyDescent="0.45">
      <c r="A5" s="4" t="s">
        <v>6</v>
      </c>
      <c r="B5" s="2"/>
    </row>
    <row r="6" spans="1:25" ht="104.25" customHeight="1" x14ac:dyDescent="0.45">
      <c r="A6" s="4" t="s">
        <v>7</v>
      </c>
      <c r="B6" s="3"/>
    </row>
    <row r="7" spans="1:25" x14ac:dyDescent="0.45">
      <c r="O7" t="s">
        <v>16</v>
      </c>
      <c r="R7" t="s">
        <v>10</v>
      </c>
      <c r="S7">
        <f>VLOOKUP(B10,R8:S11,2,FALSE)</f>
        <v>36</v>
      </c>
      <c r="U7" t="s">
        <v>80</v>
      </c>
      <c r="V7">
        <f>VLOOKUP(B16,U8:V12,2,FALSE)</f>
        <v>17</v>
      </c>
      <c r="X7" t="s">
        <v>81</v>
      </c>
      <c r="Y7">
        <f>VLOOKUP(B17,X8:Y11,2,FALSE)</f>
        <v>5</v>
      </c>
    </row>
    <row r="8" spans="1:25" x14ac:dyDescent="0.45">
      <c r="A8" s="7"/>
      <c r="B8" s="7"/>
      <c r="O8">
        <v>2000</v>
      </c>
      <c r="R8" t="s">
        <v>13</v>
      </c>
      <c r="S8">
        <v>6</v>
      </c>
      <c r="U8" t="s">
        <v>85</v>
      </c>
      <c r="V8">
        <v>14</v>
      </c>
      <c r="X8" s="8">
        <v>50000</v>
      </c>
      <c r="Y8">
        <v>3</v>
      </c>
    </row>
    <row r="9" spans="1:25" x14ac:dyDescent="0.45">
      <c r="A9" s="6" t="s">
        <v>9</v>
      </c>
      <c r="B9" s="5"/>
      <c r="O9">
        <f>O8+1</f>
        <v>2001</v>
      </c>
      <c r="R9" t="s">
        <v>12</v>
      </c>
      <c r="S9">
        <v>25</v>
      </c>
      <c r="U9" t="s">
        <v>86</v>
      </c>
      <c r="V9">
        <v>15</v>
      </c>
      <c r="X9" s="8">
        <v>100000</v>
      </c>
      <c r="Y9">
        <v>5</v>
      </c>
    </row>
    <row r="10" spans="1:25" x14ac:dyDescent="0.45">
      <c r="A10" s="6" t="s">
        <v>8</v>
      </c>
      <c r="B10" s="9" t="s">
        <v>11</v>
      </c>
      <c r="O10">
        <f t="shared" ref="O10:O41" si="0">O9+1</f>
        <v>2002</v>
      </c>
      <c r="R10" t="s">
        <v>11</v>
      </c>
      <c r="S10">
        <v>36</v>
      </c>
      <c r="U10" t="s">
        <v>87</v>
      </c>
      <c r="V10">
        <v>16</v>
      </c>
      <c r="X10" s="8">
        <v>250000</v>
      </c>
      <c r="Y10">
        <v>7</v>
      </c>
    </row>
    <row r="11" spans="1:25" x14ac:dyDescent="0.45">
      <c r="A11" s="5"/>
      <c r="B11" s="9"/>
      <c r="O11">
        <f t="shared" si="0"/>
        <v>2003</v>
      </c>
      <c r="R11" t="s">
        <v>14</v>
      </c>
      <c r="S11">
        <v>48</v>
      </c>
      <c r="U11" t="s">
        <v>88</v>
      </c>
      <c r="V11">
        <v>17</v>
      </c>
      <c r="X11" s="8">
        <v>1000000</v>
      </c>
      <c r="Y11">
        <v>10</v>
      </c>
    </row>
    <row r="12" spans="1:25" x14ac:dyDescent="0.45">
      <c r="A12" s="6" t="s">
        <v>15</v>
      </c>
      <c r="B12" s="9"/>
      <c r="O12">
        <f t="shared" si="0"/>
        <v>2004</v>
      </c>
      <c r="U12" t="s">
        <v>89</v>
      </c>
      <c r="V12">
        <v>18</v>
      </c>
    </row>
    <row r="13" spans="1:25" x14ac:dyDescent="0.45">
      <c r="A13" s="6" t="s">
        <v>17</v>
      </c>
      <c r="B13" s="9">
        <v>2019</v>
      </c>
      <c r="O13">
        <f t="shared" si="0"/>
        <v>2005</v>
      </c>
    </row>
    <row r="14" spans="1:25" x14ac:dyDescent="0.45">
      <c r="A14" s="6"/>
      <c r="B14" s="10"/>
      <c r="O14">
        <f t="shared" si="0"/>
        <v>2006</v>
      </c>
    </row>
    <row r="15" spans="1:25" x14ac:dyDescent="0.45">
      <c r="A15" s="6" t="s">
        <v>82</v>
      </c>
      <c r="B15" s="10"/>
      <c r="O15">
        <f t="shared" si="0"/>
        <v>2007</v>
      </c>
    </row>
    <row r="16" spans="1:25" x14ac:dyDescent="0.45">
      <c r="A16" s="6" t="s">
        <v>84</v>
      </c>
      <c r="B16" s="9" t="s">
        <v>88</v>
      </c>
      <c r="O16">
        <f t="shared" si="0"/>
        <v>2008</v>
      </c>
    </row>
    <row r="17" spans="1:15" x14ac:dyDescent="0.45">
      <c r="A17" s="6" t="s">
        <v>83</v>
      </c>
      <c r="B17" s="11">
        <v>100000</v>
      </c>
      <c r="O17">
        <f t="shared" si="0"/>
        <v>2009</v>
      </c>
    </row>
    <row r="18" spans="1:15" x14ac:dyDescent="0.45">
      <c r="A18" s="6"/>
      <c r="B18" s="10"/>
      <c r="O18">
        <f t="shared" si="0"/>
        <v>2010</v>
      </c>
    </row>
    <row r="19" spans="1:15" x14ac:dyDescent="0.45">
      <c r="A19" s="6"/>
      <c r="B19" s="6"/>
      <c r="O19">
        <f t="shared" si="0"/>
        <v>2011</v>
      </c>
    </row>
    <row r="20" spans="1:15" x14ac:dyDescent="0.45">
      <c r="O20">
        <f t="shared" si="0"/>
        <v>2012</v>
      </c>
    </row>
    <row r="21" spans="1:15" x14ac:dyDescent="0.45">
      <c r="O21">
        <f t="shared" si="0"/>
        <v>2013</v>
      </c>
    </row>
    <row r="22" spans="1:15" x14ac:dyDescent="0.45">
      <c r="O22">
        <f t="shared" si="0"/>
        <v>2014</v>
      </c>
    </row>
    <row r="23" spans="1:15" x14ac:dyDescent="0.45">
      <c r="O23">
        <f t="shared" si="0"/>
        <v>2015</v>
      </c>
    </row>
    <row r="24" spans="1:15" x14ac:dyDescent="0.45">
      <c r="O24">
        <f t="shared" si="0"/>
        <v>2016</v>
      </c>
    </row>
    <row r="25" spans="1:15" x14ac:dyDescent="0.45">
      <c r="O25">
        <f t="shared" si="0"/>
        <v>2017</v>
      </c>
    </row>
    <row r="26" spans="1:15" x14ac:dyDescent="0.45">
      <c r="O26">
        <f t="shared" si="0"/>
        <v>2018</v>
      </c>
    </row>
    <row r="27" spans="1:15" x14ac:dyDescent="0.45">
      <c r="O27">
        <f t="shared" si="0"/>
        <v>2019</v>
      </c>
    </row>
    <row r="28" spans="1:15" x14ac:dyDescent="0.45">
      <c r="O28">
        <f t="shared" si="0"/>
        <v>2020</v>
      </c>
    </row>
    <row r="29" spans="1:15" x14ac:dyDescent="0.45">
      <c r="O29">
        <f t="shared" si="0"/>
        <v>2021</v>
      </c>
    </row>
    <row r="30" spans="1:15" x14ac:dyDescent="0.45">
      <c r="O30">
        <f t="shared" si="0"/>
        <v>2022</v>
      </c>
    </row>
    <row r="31" spans="1:15" x14ac:dyDescent="0.45">
      <c r="O31">
        <f t="shared" si="0"/>
        <v>2023</v>
      </c>
    </row>
    <row r="32" spans="1:15" x14ac:dyDescent="0.45">
      <c r="O32">
        <f t="shared" si="0"/>
        <v>2024</v>
      </c>
    </row>
    <row r="33" spans="15:15" x14ac:dyDescent="0.45">
      <c r="O33">
        <f t="shared" si="0"/>
        <v>2025</v>
      </c>
    </row>
    <row r="34" spans="15:15" x14ac:dyDescent="0.45">
      <c r="O34">
        <f t="shared" si="0"/>
        <v>2026</v>
      </c>
    </row>
  </sheetData>
  <dataConsolidate/>
  <dataValidations count="4">
    <dataValidation type="list" allowBlank="1" showInputMessage="1" showErrorMessage="1" sqref="B10" xr:uid="{71BDB68D-DBB3-4B35-862C-462F734844DD}">
      <formula1>$R$8:$R$11</formula1>
    </dataValidation>
    <dataValidation type="list" allowBlank="1" showInputMessage="1" showErrorMessage="1" sqref="B13" xr:uid="{ADAA8BA8-3C2C-4D6C-9D70-2F585BBC4B1A}">
      <formula1>$O$8:$O$34</formula1>
    </dataValidation>
    <dataValidation type="list" allowBlank="1" showInputMessage="1" showErrorMessage="1" sqref="B16" xr:uid="{6DD65387-FEFA-4F0E-8282-75B1754E4486}">
      <formula1>$U$8:$U$12</formula1>
    </dataValidation>
    <dataValidation type="list" allowBlank="1" showInputMessage="1" showErrorMessage="1" sqref="B17" xr:uid="{A8A89B01-C5CC-4AFA-BA7F-00DDD3819A86}">
      <formula1>$X$8:$X$11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Query">
                <anchor moveWithCells="1" sizeWithCells="1">
                  <from>
                    <xdr:col>3</xdr:col>
                    <xdr:colOff>23813</xdr:colOff>
                    <xdr:row>8</xdr:row>
                    <xdr:rowOff>166688</xdr:rowOff>
                  </from>
                  <to>
                    <xdr:col>7</xdr:col>
                    <xdr:colOff>9525</xdr:colOff>
                    <xdr:row>12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652A-E1B8-4C83-93CD-C1DDAD5919A1}">
  <sheetPr codeName="Sheet3"/>
  <dimension ref="A1:C52"/>
  <sheetViews>
    <sheetView workbookViewId="0">
      <selection activeCell="C3" sqref="C3"/>
    </sheetView>
  </sheetViews>
  <sheetFormatPr defaultRowHeight="14.25" x14ac:dyDescent="0.45"/>
  <sheetData>
    <row r="1" spans="1:3" x14ac:dyDescent="0.45">
      <c r="A1" t="s">
        <v>0</v>
      </c>
      <c r="B1" t="s">
        <v>2</v>
      </c>
      <c r="C1" t="s">
        <v>1</v>
      </c>
    </row>
    <row r="2" spans="1:3" x14ac:dyDescent="0.45">
      <c r="A2">
        <v>1</v>
      </c>
      <c r="B2">
        <v>2019</v>
      </c>
      <c r="C2">
        <v>4910175.0680665197</v>
      </c>
    </row>
    <row r="3" spans="1:3" x14ac:dyDescent="0.45">
      <c r="A3">
        <v>2</v>
      </c>
      <c r="B3">
        <v>2019</v>
      </c>
      <c r="C3">
        <v>724023.14977005206</v>
      </c>
    </row>
    <row r="4" spans="1:3" x14ac:dyDescent="0.45">
      <c r="A4">
        <v>4</v>
      </c>
      <c r="B4">
        <v>2019</v>
      </c>
      <c r="C4">
        <v>7175579.2842523204</v>
      </c>
    </row>
    <row r="5" spans="1:3" x14ac:dyDescent="0.45">
      <c r="A5">
        <v>5</v>
      </c>
      <c r="B5">
        <v>2019</v>
      </c>
      <c r="C5">
        <v>3032512.2366742902</v>
      </c>
    </row>
    <row r="6" spans="1:3" x14ac:dyDescent="0.45">
      <c r="A6">
        <v>6</v>
      </c>
      <c r="B6">
        <v>2019</v>
      </c>
      <c r="C6">
        <v>40282961.124927402</v>
      </c>
    </row>
    <row r="7" spans="1:3" x14ac:dyDescent="0.45">
      <c r="A7">
        <v>8</v>
      </c>
      <c r="B7">
        <v>2019</v>
      </c>
      <c r="C7">
        <v>5684024.4650878701</v>
      </c>
    </row>
    <row r="8" spans="1:3" x14ac:dyDescent="0.45">
      <c r="A8">
        <v>9</v>
      </c>
      <c r="B8">
        <v>2019</v>
      </c>
      <c r="C8">
        <v>3581418.3380904701</v>
      </c>
    </row>
    <row r="9" spans="1:3" x14ac:dyDescent="0.45">
      <c r="A9">
        <v>10</v>
      </c>
      <c r="B9">
        <v>2019</v>
      </c>
      <c r="C9">
        <v>974139.14698373398</v>
      </c>
    </row>
    <row r="10" spans="1:3" x14ac:dyDescent="0.45">
      <c r="A10">
        <v>11</v>
      </c>
      <c r="B10">
        <v>2019</v>
      </c>
      <c r="C10">
        <v>717399.98125572398</v>
      </c>
    </row>
    <row r="11" spans="1:3" x14ac:dyDescent="0.45">
      <c r="A11">
        <v>12</v>
      </c>
      <c r="B11">
        <v>2019</v>
      </c>
      <c r="C11">
        <v>21431680.021297701</v>
      </c>
    </row>
    <row r="12" spans="1:3" x14ac:dyDescent="0.45">
      <c r="A12">
        <v>13</v>
      </c>
      <c r="B12">
        <v>2019</v>
      </c>
      <c r="C12">
        <v>10630270.1476801</v>
      </c>
    </row>
    <row r="13" spans="1:3" x14ac:dyDescent="0.45">
      <c r="A13">
        <v>15</v>
      </c>
      <c r="B13">
        <v>2019</v>
      </c>
      <c r="C13">
        <v>1445771.43777007</v>
      </c>
    </row>
    <row r="14" spans="1:3" x14ac:dyDescent="0.45">
      <c r="A14">
        <v>16</v>
      </c>
      <c r="B14">
        <v>2019</v>
      </c>
      <c r="C14">
        <v>1756983.5052342699</v>
      </c>
    </row>
    <row r="15" spans="1:3" x14ac:dyDescent="0.45">
      <c r="A15">
        <v>17</v>
      </c>
      <c r="B15">
        <v>2019</v>
      </c>
      <c r="C15">
        <v>12867400.877925901</v>
      </c>
    </row>
    <row r="16" spans="1:3" x14ac:dyDescent="0.45">
      <c r="A16">
        <v>18</v>
      </c>
      <c r="B16">
        <v>2019</v>
      </c>
      <c r="C16">
        <v>6727002.5725692902</v>
      </c>
    </row>
    <row r="17" spans="1:3" x14ac:dyDescent="0.45">
      <c r="A17">
        <v>19</v>
      </c>
      <c r="B17">
        <v>2019</v>
      </c>
      <c r="C17">
        <v>3171084.55379934</v>
      </c>
    </row>
    <row r="18" spans="1:3" x14ac:dyDescent="0.45">
      <c r="A18">
        <v>20</v>
      </c>
      <c r="B18">
        <v>2019</v>
      </c>
      <c r="C18">
        <v>2933568.8302319301</v>
      </c>
    </row>
    <row r="19" spans="1:3" x14ac:dyDescent="0.45">
      <c r="A19">
        <v>21</v>
      </c>
      <c r="B19">
        <v>2019</v>
      </c>
      <c r="C19">
        <v>4490827.2635962795</v>
      </c>
    </row>
    <row r="20" spans="1:3" x14ac:dyDescent="0.45">
      <c r="A20">
        <v>22</v>
      </c>
      <c r="B20">
        <v>2019</v>
      </c>
      <c r="C20">
        <v>4724130.4483130304</v>
      </c>
    </row>
    <row r="21" spans="1:3" x14ac:dyDescent="0.45">
      <c r="A21">
        <v>23</v>
      </c>
      <c r="B21">
        <v>2019</v>
      </c>
      <c r="C21">
        <v>1336847.3886287301</v>
      </c>
    </row>
    <row r="22" spans="1:3" x14ac:dyDescent="0.45">
      <c r="A22">
        <v>24</v>
      </c>
      <c r="B22">
        <v>2019</v>
      </c>
      <c r="C22">
        <v>6130213.4998883903</v>
      </c>
    </row>
    <row r="23" spans="1:3" x14ac:dyDescent="0.45">
      <c r="A23">
        <v>25</v>
      </c>
      <c r="B23">
        <v>2019</v>
      </c>
      <c r="C23">
        <v>6933045.3444053903</v>
      </c>
    </row>
    <row r="24" spans="1:3" x14ac:dyDescent="0.45">
      <c r="A24">
        <v>26</v>
      </c>
      <c r="B24">
        <v>2019</v>
      </c>
      <c r="C24">
        <v>10016947.7544106</v>
      </c>
    </row>
    <row r="25" spans="1:3" x14ac:dyDescent="0.45">
      <c r="A25">
        <v>27</v>
      </c>
      <c r="B25">
        <v>2019</v>
      </c>
      <c r="C25">
        <v>5656530.5271864003</v>
      </c>
    </row>
    <row r="26" spans="1:3" x14ac:dyDescent="0.45">
      <c r="A26">
        <v>28</v>
      </c>
      <c r="B26">
        <v>2019</v>
      </c>
      <c r="C26">
        <v>2998601.37174745</v>
      </c>
    </row>
    <row r="27" spans="1:3" x14ac:dyDescent="0.45">
      <c r="A27">
        <v>29</v>
      </c>
      <c r="B27">
        <v>2019</v>
      </c>
      <c r="C27">
        <v>6161296.1655659303</v>
      </c>
    </row>
    <row r="28" spans="1:3" x14ac:dyDescent="0.45">
      <c r="A28">
        <v>30</v>
      </c>
      <c r="B28">
        <v>2019</v>
      </c>
      <c r="C28">
        <v>1065362.36510091</v>
      </c>
    </row>
    <row r="29" spans="1:3" x14ac:dyDescent="0.45">
      <c r="A29">
        <v>31</v>
      </c>
      <c r="B29">
        <v>2019</v>
      </c>
      <c r="C29">
        <v>1947113.1672435501</v>
      </c>
    </row>
    <row r="30" spans="1:3" x14ac:dyDescent="0.45">
      <c r="A30">
        <v>32</v>
      </c>
      <c r="B30">
        <v>2019</v>
      </c>
      <c r="C30">
        <v>3082364.0250071301</v>
      </c>
    </row>
    <row r="31" spans="1:3" x14ac:dyDescent="0.45">
      <c r="A31">
        <v>33</v>
      </c>
      <c r="B31">
        <v>2019</v>
      </c>
      <c r="C31">
        <v>1348568.5727162501</v>
      </c>
    </row>
    <row r="32" spans="1:3" x14ac:dyDescent="0.45">
      <c r="A32">
        <v>34</v>
      </c>
      <c r="B32">
        <v>2019</v>
      </c>
      <c r="C32">
        <v>9067542.9853628799</v>
      </c>
    </row>
    <row r="33" spans="1:3" x14ac:dyDescent="0.45">
      <c r="A33">
        <v>35</v>
      </c>
      <c r="B33">
        <v>2019</v>
      </c>
      <c r="C33">
        <v>2101923.72654883</v>
      </c>
    </row>
    <row r="34" spans="1:3" x14ac:dyDescent="0.45">
      <c r="A34">
        <v>36</v>
      </c>
      <c r="B34">
        <v>2019</v>
      </c>
      <c r="C34">
        <v>20010626.9361655</v>
      </c>
    </row>
    <row r="35" spans="1:3" x14ac:dyDescent="0.45">
      <c r="A35">
        <v>37</v>
      </c>
      <c r="B35">
        <v>2019</v>
      </c>
      <c r="C35">
        <v>10457135.3896043</v>
      </c>
    </row>
    <row r="36" spans="1:3" x14ac:dyDescent="0.45">
      <c r="A36">
        <v>38</v>
      </c>
      <c r="B36">
        <v>2019</v>
      </c>
      <c r="C36">
        <v>773230.87426672596</v>
      </c>
    </row>
    <row r="37" spans="1:3" x14ac:dyDescent="0.45">
      <c r="A37">
        <v>39</v>
      </c>
      <c r="B37">
        <v>2019</v>
      </c>
      <c r="C37">
        <v>11728424.657397101</v>
      </c>
    </row>
    <row r="38" spans="1:3" x14ac:dyDescent="0.45">
      <c r="A38">
        <v>40</v>
      </c>
      <c r="B38">
        <v>2019</v>
      </c>
      <c r="C38">
        <v>3984335.8390079401</v>
      </c>
    </row>
    <row r="39" spans="1:3" x14ac:dyDescent="0.45">
      <c r="A39">
        <v>41</v>
      </c>
      <c r="B39">
        <v>2019</v>
      </c>
      <c r="C39">
        <v>4230808.9823860703</v>
      </c>
    </row>
    <row r="40" spans="1:3" x14ac:dyDescent="0.45">
      <c r="A40">
        <v>42</v>
      </c>
      <c r="B40">
        <v>2019</v>
      </c>
      <c r="C40">
        <v>12847487.0074437</v>
      </c>
    </row>
    <row r="41" spans="1:3" x14ac:dyDescent="0.45">
      <c r="A41">
        <v>44</v>
      </c>
      <c r="B41">
        <v>2019</v>
      </c>
      <c r="C41">
        <v>1061900.5201151201</v>
      </c>
    </row>
    <row r="42" spans="1:3" x14ac:dyDescent="0.45">
      <c r="A42">
        <v>45</v>
      </c>
      <c r="B42">
        <v>2019</v>
      </c>
      <c r="C42">
        <v>5114897.0203652503</v>
      </c>
    </row>
    <row r="43" spans="1:3" x14ac:dyDescent="0.45">
      <c r="A43">
        <v>46</v>
      </c>
      <c r="B43">
        <v>2019</v>
      </c>
      <c r="C43">
        <v>883890.45672313205</v>
      </c>
    </row>
    <row r="44" spans="1:3" x14ac:dyDescent="0.45">
      <c r="A44">
        <v>47</v>
      </c>
      <c r="B44">
        <v>2019</v>
      </c>
      <c r="C44">
        <v>6814750.1115028802</v>
      </c>
    </row>
    <row r="45" spans="1:3" x14ac:dyDescent="0.45">
      <c r="A45">
        <v>48</v>
      </c>
      <c r="B45">
        <v>2019</v>
      </c>
      <c r="C45">
        <v>29104223.944790602</v>
      </c>
    </row>
    <row r="46" spans="1:3" x14ac:dyDescent="0.45">
      <c r="A46">
        <v>49</v>
      </c>
      <c r="B46">
        <v>2019</v>
      </c>
      <c r="C46">
        <v>3208021.8076214902</v>
      </c>
    </row>
    <row r="47" spans="1:3" x14ac:dyDescent="0.45">
      <c r="A47">
        <v>50</v>
      </c>
      <c r="B47">
        <v>2019</v>
      </c>
      <c r="C47">
        <v>622078.60548430297</v>
      </c>
    </row>
    <row r="48" spans="1:3" x14ac:dyDescent="0.45">
      <c r="A48">
        <v>51</v>
      </c>
      <c r="B48">
        <v>2019</v>
      </c>
      <c r="C48">
        <v>8592835.04580478</v>
      </c>
    </row>
    <row r="49" spans="1:3" x14ac:dyDescent="0.45">
      <c r="A49">
        <v>53</v>
      </c>
      <c r="B49">
        <v>2019</v>
      </c>
      <c r="C49">
        <v>7603821.0988558</v>
      </c>
    </row>
    <row r="50" spans="1:3" x14ac:dyDescent="0.45">
      <c r="A50">
        <v>54</v>
      </c>
      <c r="B50">
        <v>2019</v>
      </c>
      <c r="C50">
        <v>1805472.8945195901</v>
      </c>
    </row>
    <row r="51" spans="1:3" x14ac:dyDescent="0.45">
      <c r="A51">
        <v>55</v>
      </c>
      <c r="B51">
        <v>2019</v>
      </c>
      <c r="C51">
        <v>5828659.5598610202</v>
      </c>
    </row>
    <row r="52" spans="1:3" x14ac:dyDescent="0.45">
      <c r="A52">
        <v>56</v>
      </c>
      <c r="B52">
        <v>2019</v>
      </c>
      <c r="C52">
        <v>582306.31590669299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8462F-FB96-47DD-B632-ECAFBCE65550}">
  <sheetPr codeName="Sheet4"/>
  <dimension ref="A1:D187"/>
  <sheetViews>
    <sheetView workbookViewId="0">
      <selection activeCell="A2" sqref="A2"/>
    </sheetView>
  </sheetViews>
  <sheetFormatPr defaultRowHeight="14.25" x14ac:dyDescent="0.45"/>
  <cols>
    <col min="1" max="1" width="6.06640625" bestFit="1" customWidth="1"/>
    <col min="2" max="2" width="4.73046875" bestFit="1" customWidth="1"/>
    <col min="3" max="3" width="10" bestFit="1" customWidth="1"/>
    <col min="4" max="4" width="22.19921875" bestFit="1" customWidth="1"/>
  </cols>
  <sheetData>
    <row r="1" spans="1:4" x14ac:dyDescent="0.45">
      <c r="A1" t="s">
        <v>3</v>
      </c>
      <c r="B1" t="s">
        <v>2</v>
      </c>
      <c r="C1" t="s">
        <v>4</v>
      </c>
      <c r="D1" t="s">
        <v>5</v>
      </c>
    </row>
    <row r="2" spans="1:4" x14ac:dyDescent="0.45">
      <c r="A2">
        <v>36001</v>
      </c>
      <c r="B2">
        <v>2013</v>
      </c>
      <c r="C2">
        <v>57931</v>
      </c>
      <c r="D2" t="s">
        <v>18</v>
      </c>
    </row>
    <row r="3" spans="1:4" x14ac:dyDescent="0.45">
      <c r="A3">
        <v>36001</v>
      </c>
      <c r="B3">
        <v>2018</v>
      </c>
      <c r="C3">
        <v>66544</v>
      </c>
      <c r="D3" t="s">
        <v>18</v>
      </c>
    </row>
    <row r="4" spans="1:4" x14ac:dyDescent="0.45">
      <c r="A4">
        <v>36001</v>
      </c>
      <c r="B4">
        <v>2023</v>
      </c>
      <c r="C4">
        <v>72166</v>
      </c>
      <c r="D4" t="s">
        <v>18</v>
      </c>
    </row>
    <row r="5" spans="1:4" x14ac:dyDescent="0.45">
      <c r="A5">
        <v>36003</v>
      </c>
      <c r="B5">
        <v>2013</v>
      </c>
      <c r="C5">
        <v>46026</v>
      </c>
      <c r="D5" t="s">
        <v>19</v>
      </c>
    </row>
    <row r="6" spans="1:4" x14ac:dyDescent="0.45">
      <c r="A6">
        <v>36003</v>
      </c>
      <c r="B6">
        <v>2018</v>
      </c>
      <c r="C6">
        <v>52761</v>
      </c>
      <c r="D6" t="s">
        <v>19</v>
      </c>
    </row>
    <row r="7" spans="1:4" x14ac:dyDescent="0.45">
      <c r="A7">
        <v>36003</v>
      </c>
      <c r="B7">
        <v>2023</v>
      </c>
      <c r="C7">
        <v>58507</v>
      </c>
      <c r="D7" t="s">
        <v>19</v>
      </c>
    </row>
    <row r="8" spans="1:4" x14ac:dyDescent="0.45">
      <c r="A8">
        <v>36005</v>
      </c>
      <c r="B8">
        <v>2013</v>
      </c>
      <c r="C8">
        <v>35041</v>
      </c>
      <c r="D8" t="s">
        <v>20</v>
      </c>
    </row>
    <row r="9" spans="1:4" x14ac:dyDescent="0.45">
      <c r="A9">
        <v>36005</v>
      </c>
      <c r="B9">
        <v>2018</v>
      </c>
      <c r="C9">
        <v>40611</v>
      </c>
      <c r="D9" t="s">
        <v>20</v>
      </c>
    </row>
    <row r="10" spans="1:4" x14ac:dyDescent="0.45">
      <c r="A10">
        <v>36005</v>
      </c>
      <c r="B10">
        <v>2023</v>
      </c>
      <c r="C10">
        <v>45223</v>
      </c>
      <c r="D10" t="s">
        <v>20</v>
      </c>
    </row>
    <row r="11" spans="1:4" x14ac:dyDescent="0.45">
      <c r="A11">
        <v>36007</v>
      </c>
      <c r="B11">
        <v>2013</v>
      </c>
      <c r="C11">
        <v>44479</v>
      </c>
      <c r="D11" t="s">
        <v>21</v>
      </c>
    </row>
    <row r="12" spans="1:4" x14ac:dyDescent="0.45">
      <c r="A12">
        <v>36007</v>
      </c>
      <c r="B12">
        <v>2018</v>
      </c>
      <c r="C12">
        <v>48900</v>
      </c>
      <c r="D12" t="s">
        <v>21</v>
      </c>
    </row>
    <row r="13" spans="1:4" x14ac:dyDescent="0.45">
      <c r="A13">
        <v>36007</v>
      </c>
      <c r="B13">
        <v>2023</v>
      </c>
      <c r="C13">
        <v>52602</v>
      </c>
      <c r="D13" t="s">
        <v>21</v>
      </c>
    </row>
    <row r="14" spans="1:4" x14ac:dyDescent="0.45">
      <c r="A14">
        <v>36009</v>
      </c>
      <c r="B14">
        <v>2013</v>
      </c>
      <c r="C14">
        <v>45096</v>
      </c>
      <c r="D14" t="s">
        <v>22</v>
      </c>
    </row>
    <row r="15" spans="1:4" x14ac:dyDescent="0.45">
      <c r="A15">
        <v>36009</v>
      </c>
      <c r="B15">
        <v>2018</v>
      </c>
      <c r="C15">
        <v>50646</v>
      </c>
      <c r="D15" t="s">
        <v>22</v>
      </c>
    </row>
    <row r="16" spans="1:4" x14ac:dyDescent="0.45">
      <c r="A16">
        <v>36009</v>
      </c>
      <c r="B16">
        <v>2023</v>
      </c>
      <c r="C16">
        <v>55460</v>
      </c>
      <c r="D16" t="s">
        <v>22</v>
      </c>
    </row>
    <row r="17" spans="1:4" x14ac:dyDescent="0.45">
      <c r="A17">
        <v>36011</v>
      </c>
      <c r="B17">
        <v>2013</v>
      </c>
      <c r="C17">
        <v>55118</v>
      </c>
      <c r="D17" t="s">
        <v>23</v>
      </c>
    </row>
    <row r="18" spans="1:4" x14ac:dyDescent="0.45">
      <c r="A18">
        <v>36011</v>
      </c>
      <c r="B18">
        <v>2018</v>
      </c>
      <c r="C18">
        <v>59184</v>
      </c>
      <c r="D18" t="s">
        <v>23</v>
      </c>
    </row>
    <row r="19" spans="1:4" x14ac:dyDescent="0.45">
      <c r="A19">
        <v>36011</v>
      </c>
      <c r="B19">
        <v>2023</v>
      </c>
      <c r="C19">
        <v>63338</v>
      </c>
      <c r="D19" t="s">
        <v>23</v>
      </c>
    </row>
    <row r="20" spans="1:4" x14ac:dyDescent="0.45">
      <c r="A20">
        <v>36013</v>
      </c>
      <c r="B20">
        <v>2013</v>
      </c>
      <c r="C20">
        <v>44789</v>
      </c>
      <c r="D20" t="s">
        <v>24</v>
      </c>
    </row>
    <row r="21" spans="1:4" x14ac:dyDescent="0.45">
      <c r="A21">
        <v>36013</v>
      </c>
      <c r="B21">
        <v>2018</v>
      </c>
      <c r="C21">
        <v>50343</v>
      </c>
      <c r="D21" t="s">
        <v>24</v>
      </c>
    </row>
    <row r="22" spans="1:4" x14ac:dyDescent="0.45">
      <c r="A22">
        <v>36013</v>
      </c>
      <c r="B22">
        <v>2023</v>
      </c>
      <c r="C22">
        <v>55466</v>
      </c>
      <c r="D22" t="s">
        <v>24</v>
      </c>
    </row>
    <row r="23" spans="1:4" x14ac:dyDescent="0.45">
      <c r="A23">
        <v>36015</v>
      </c>
      <c r="B23">
        <v>2013</v>
      </c>
      <c r="C23">
        <v>47434</v>
      </c>
      <c r="D23" t="s">
        <v>25</v>
      </c>
    </row>
    <row r="24" spans="1:4" x14ac:dyDescent="0.45">
      <c r="A24">
        <v>36015</v>
      </c>
      <c r="B24">
        <v>2018</v>
      </c>
      <c r="C24">
        <v>52452</v>
      </c>
      <c r="D24" t="s">
        <v>25</v>
      </c>
    </row>
    <row r="25" spans="1:4" x14ac:dyDescent="0.45">
      <c r="A25">
        <v>36015</v>
      </c>
      <c r="B25">
        <v>2023</v>
      </c>
      <c r="C25">
        <v>56793</v>
      </c>
      <c r="D25" t="s">
        <v>25</v>
      </c>
    </row>
    <row r="26" spans="1:4" x14ac:dyDescent="0.45">
      <c r="A26">
        <v>36017</v>
      </c>
      <c r="B26">
        <v>2013</v>
      </c>
      <c r="C26">
        <v>49653</v>
      </c>
      <c r="D26" t="s">
        <v>26</v>
      </c>
    </row>
    <row r="27" spans="1:4" x14ac:dyDescent="0.45">
      <c r="A27">
        <v>36017</v>
      </c>
      <c r="B27">
        <v>2018</v>
      </c>
      <c r="C27">
        <v>55915</v>
      </c>
      <c r="D27" t="s">
        <v>26</v>
      </c>
    </row>
    <row r="28" spans="1:4" x14ac:dyDescent="0.45">
      <c r="A28">
        <v>36017</v>
      </c>
      <c r="B28">
        <v>2023</v>
      </c>
      <c r="C28">
        <v>61559</v>
      </c>
      <c r="D28" t="s">
        <v>26</v>
      </c>
    </row>
    <row r="29" spans="1:4" x14ac:dyDescent="0.45">
      <c r="A29">
        <v>36019</v>
      </c>
      <c r="B29">
        <v>2013</v>
      </c>
      <c r="C29">
        <v>51285</v>
      </c>
      <c r="D29" t="s">
        <v>27</v>
      </c>
    </row>
    <row r="30" spans="1:4" x14ac:dyDescent="0.45">
      <c r="A30">
        <v>36019</v>
      </c>
      <c r="B30">
        <v>2018</v>
      </c>
      <c r="C30">
        <v>58898</v>
      </c>
      <c r="D30" t="s">
        <v>27</v>
      </c>
    </row>
    <row r="31" spans="1:4" x14ac:dyDescent="0.45">
      <c r="A31">
        <v>36019</v>
      </c>
      <c r="B31">
        <v>2023</v>
      </c>
      <c r="C31">
        <v>65208</v>
      </c>
      <c r="D31" t="s">
        <v>27</v>
      </c>
    </row>
    <row r="32" spans="1:4" x14ac:dyDescent="0.45">
      <c r="A32">
        <v>36021</v>
      </c>
      <c r="B32">
        <v>2013</v>
      </c>
      <c r="C32">
        <v>54224</v>
      </c>
      <c r="D32" t="s">
        <v>28</v>
      </c>
    </row>
    <row r="33" spans="1:4" x14ac:dyDescent="0.45">
      <c r="A33">
        <v>36021</v>
      </c>
      <c r="B33">
        <v>2018</v>
      </c>
      <c r="C33">
        <v>61675</v>
      </c>
      <c r="D33" t="s">
        <v>28</v>
      </c>
    </row>
    <row r="34" spans="1:4" x14ac:dyDescent="0.45">
      <c r="A34">
        <v>36021</v>
      </c>
      <c r="B34">
        <v>2023</v>
      </c>
      <c r="C34">
        <v>68821</v>
      </c>
      <c r="D34" t="s">
        <v>28</v>
      </c>
    </row>
    <row r="35" spans="1:4" x14ac:dyDescent="0.45">
      <c r="A35">
        <v>36023</v>
      </c>
      <c r="B35">
        <v>2013</v>
      </c>
      <c r="C35">
        <v>55078</v>
      </c>
      <c r="D35" t="s">
        <v>29</v>
      </c>
    </row>
    <row r="36" spans="1:4" x14ac:dyDescent="0.45">
      <c r="A36">
        <v>36023</v>
      </c>
      <c r="B36">
        <v>2018</v>
      </c>
      <c r="C36">
        <v>62735</v>
      </c>
      <c r="D36" t="s">
        <v>29</v>
      </c>
    </row>
    <row r="37" spans="1:4" x14ac:dyDescent="0.45">
      <c r="A37">
        <v>36023</v>
      </c>
      <c r="B37">
        <v>2023</v>
      </c>
      <c r="C37">
        <v>69055</v>
      </c>
      <c r="D37" t="s">
        <v>29</v>
      </c>
    </row>
    <row r="38" spans="1:4" x14ac:dyDescent="0.45">
      <c r="A38">
        <v>36025</v>
      </c>
      <c r="B38">
        <v>2013</v>
      </c>
      <c r="C38">
        <v>47975</v>
      </c>
      <c r="D38" t="s">
        <v>30</v>
      </c>
    </row>
    <row r="39" spans="1:4" x14ac:dyDescent="0.45">
      <c r="A39">
        <v>36025</v>
      </c>
      <c r="B39">
        <v>2018</v>
      </c>
      <c r="C39">
        <v>53281</v>
      </c>
      <c r="D39" t="s">
        <v>30</v>
      </c>
    </row>
    <row r="40" spans="1:4" x14ac:dyDescent="0.45">
      <c r="A40">
        <v>36025</v>
      </c>
      <c r="B40">
        <v>2023</v>
      </c>
      <c r="C40">
        <v>58158</v>
      </c>
      <c r="D40" t="s">
        <v>30</v>
      </c>
    </row>
    <row r="41" spans="1:4" x14ac:dyDescent="0.45">
      <c r="A41">
        <v>36027</v>
      </c>
      <c r="B41">
        <v>2013</v>
      </c>
      <c r="C41">
        <v>67777</v>
      </c>
      <c r="D41" t="s">
        <v>31</v>
      </c>
    </row>
    <row r="42" spans="1:4" x14ac:dyDescent="0.45">
      <c r="A42">
        <v>36027</v>
      </c>
      <c r="B42">
        <v>2018</v>
      </c>
      <c r="C42">
        <v>74576</v>
      </c>
      <c r="D42" t="s">
        <v>31</v>
      </c>
    </row>
    <row r="43" spans="1:4" x14ac:dyDescent="0.45">
      <c r="A43">
        <v>36027</v>
      </c>
      <c r="B43">
        <v>2023</v>
      </c>
      <c r="C43">
        <v>80187</v>
      </c>
      <c r="D43" t="s">
        <v>31</v>
      </c>
    </row>
    <row r="44" spans="1:4" x14ac:dyDescent="0.45">
      <c r="A44">
        <v>36029</v>
      </c>
      <c r="B44">
        <v>2013</v>
      </c>
      <c r="C44">
        <v>49945</v>
      </c>
      <c r="D44" t="s">
        <v>32</v>
      </c>
    </row>
    <row r="45" spans="1:4" x14ac:dyDescent="0.45">
      <c r="A45">
        <v>36029</v>
      </c>
      <c r="B45">
        <v>2018</v>
      </c>
      <c r="C45">
        <v>55897</v>
      </c>
      <c r="D45" t="s">
        <v>32</v>
      </c>
    </row>
    <row r="46" spans="1:4" x14ac:dyDescent="0.45">
      <c r="A46">
        <v>36029</v>
      </c>
      <c r="B46">
        <v>2023</v>
      </c>
      <c r="C46">
        <v>59637</v>
      </c>
      <c r="D46" t="s">
        <v>32</v>
      </c>
    </row>
    <row r="47" spans="1:4" x14ac:dyDescent="0.45">
      <c r="A47">
        <v>36031</v>
      </c>
      <c r="B47">
        <v>2013</v>
      </c>
      <c r="C47">
        <v>53902</v>
      </c>
      <c r="D47" t="s">
        <v>33</v>
      </c>
    </row>
    <row r="48" spans="1:4" x14ac:dyDescent="0.45">
      <c r="A48">
        <v>36031</v>
      </c>
      <c r="B48">
        <v>2018</v>
      </c>
      <c r="C48">
        <v>59662</v>
      </c>
      <c r="D48" t="s">
        <v>33</v>
      </c>
    </row>
    <row r="49" spans="1:4" x14ac:dyDescent="0.45">
      <c r="A49">
        <v>36031</v>
      </c>
      <c r="B49">
        <v>2023</v>
      </c>
      <c r="C49">
        <v>66029</v>
      </c>
      <c r="D49" t="s">
        <v>33</v>
      </c>
    </row>
    <row r="50" spans="1:4" x14ac:dyDescent="0.45">
      <c r="A50">
        <v>36033</v>
      </c>
      <c r="B50">
        <v>2013</v>
      </c>
      <c r="C50">
        <v>52790</v>
      </c>
      <c r="D50" t="s">
        <v>34</v>
      </c>
    </row>
    <row r="51" spans="1:4" x14ac:dyDescent="0.45">
      <c r="A51">
        <v>36033</v>
      </c>
      <c r="B51">
        <v>2018</v>
      </c>
      <c r="C51">
        <v>58368</v>
      </c>
      <c r="D51" t="s">
        <v>34</v>
      </c>
    </row>
    <row r="52" spans="1:4" x14ac:dyDescent="0.45">
      <c r="A52">
        <v>36033</v>
      </c>
      <c r="B52">
        <v>2023</v>
      </c>
      <c r="C52">
        <v>64866</v>
      </c>
      <c r="D52" t="s">
        <v>34</v>
      </c>
    </row>
    <row r="53" spans="1:4" x14ac:dyDescent="0.45">
      <c r="A53">
        <v>36035</v>
      </c>
      <c r="B53">
        <v>2013</v>
      </c>
      <c r="C53">
        <v>47745</v>
      </c>
      <c r="D53" t="s">
        <v>35</v>
      </c>
    </row>
    <row r="54" spans="1:4" x14ac:dyDescent="0.45">
      <c r="A54">
        <v>36035</v>
      </c>
      <c r="B54">
        <v>2018</v>
      </c>
      <c r="C54">
        <v>54906</v>
      </c>
      <c r="D54" t="s">
        <v>35</v>
      </c>
    </row>
    <row r="55" spans="1:4" x14ac:dyDescent="0.45">
      <c r="A55">
        <v>36035</v>
      </c>
      <c r="B55">
        <v>2023</v>
      </c>
      <c r="C55">
        <v>60757</v>
      </c>
      <c r="D55" t="s">
        <v>35</v>
      </c>
    </row>
    <row r="56" spans="1:4" x14ac:dyDescent="0.45">
      <c r="A56">
        <v>36037</v>
      </c>
      <c r="B56">
        <v>2013</v>
      </c>
      <c r="C56">
        <v>51160</v>
      </c>
      <c r="D56" t="s">
        <v>36</v>
      </c>
    </row>
    <row r="57" spans="1:4" x14ac:dyDescent="0.45">
      <c r="A57">
        <v>36037</v>
      </c>
      <c r="B57">
        <v>2018</v>
      </c>
      <c r="C57">
        <v>56350</v>
      </c>
      <c r="D57" t="s">
        <v>36</v>
      </c>
    </row>
    <row r="58" spans="1:4" x14ac:dyDescent="0.45">
      <c r="A58">
        <v>36037</v>
      </c>
      <c r="B58">
        <v>2023</v>
      </c>
      <c r="C58">
        <v>61217</v>
      </c>
      <c r="D58" t="s">
        <v>36</v>
      </c>
    </row>
    <row r="59" spans="1:4" x14ac:dyDescent="0.45">
      <c r="A59">
        <v>36039</v>
      </c>
      <c r="B59">
        <v>2013</v>
      </c>
      <c r="C59">
        <v>54600</v>
      </c>
      <c r="D59" t="s">
        <v>37</v>
      </c>
    </row>
    <row r="60" spans="1:4" x14ac:dyDescent="0.45">
      <c r="A60">
        <v>36039</v>
      </c>
      <c r="B60">
        <v>2018</v>
      </c>
      <c r="C60">
        <v>61579</v>
      </c>
      <c r="D60" t="s">
        <v>37</v>
      </c>
    </row>
    <row r="61" spans="1:4" x14ac:dyDescent="0.45">
      <c r="A61">
        <v>36039</v>
      </c>
      <c r="B61">
        <v>2023</v>
      </c>
      <c r="C61">
        <v>68304</v>
      </c>
      <c r="D61" t="s">
        <v>37</v>
      </c>
    </row>
    <row r="62" spans="1:4" x14ac:dyDescent="0.45">
      <c r="A62">
        <v>36041</v>
      </c>
      <c r="B62">
        <v>2013</v>
      </c>
      <c r="C62">
        <v>51200</v>
      </c>
      <c r="D62" t="s">
        <v>38</v>
      </c>
    </row>
    <row r="63" spans="1:4" x14ac:dyDescent="0.45">
      <c r="A63">
        <v>36041</v>
      </c>
      <c r="B63">
        <v>2018</v>
      </c>
      <c r="C63">
        <v>61215</v>
      </c>
      <c r="D63" t="s">
        <v>38</v>
      </c>
    </row>
    <row r="64" spans="1:4" x14ac:dyDescent="0.45">
      <c r="A64">
        <v>36041</v>
      </c>
      <c r="B64">
        <v>2023</v>
      </c>
      <c r="C64">
        <v>68410</v>
      </c>
      <c r="D64" t="s">
        <v>38</v>
      </c>
    </row>
    <row r="65" spans="1:4" x14ac:dyDescent="0.45">
      <c r="A65">
        <v>36043</v>
      </c>
      <c r="B65">
        <v>2013</v>
      </c>
      <c r="C65">
        <v>52038</v>
      </c>
      <c r="D65" t="s">
        <v>39</v>
      </c>
    </row>
    <row r="66" spans="1:4" x14ac:dyDescent="0.45">
      <c r="A66">
        <v>36043</v>
      </c>
      <c r="B66">
        <v>2018</v>
      </c>
      <c r="C66">
        <v>56718</v>
      </c>
      <c r="D66" t="s">
        <v>39</v>
      </c>
    </row>
    <row r="67" spans="1:4" x14ac:dyDescent="0.45">
      <c r="A67">
        <v>36043</v>
      </c>
      <c r="B67">
        <v>2023</v>
      </c>
      <c r="C67">
        <v>61621</v>
      </c>
      <c r="D67" t="s">
        <v>39</v>
      </c>
    </row>
    <row r="68" spans="1:4" x14ac:dyDescent="0.45">
      <c r="A68">
        <v>36045</v>
      </c>
      <c r="B68">
        <v>2013</v>
      </c>
      <c r="C68">
        <v>49739</v>
      </c>
      <c r="D68" t="s">
        <v>40</v>
      </c>
    </row>
    <row r="69" spans="1:4" x14ac:dyDescent="0.45">
      <c r="A69">
        <v>36045</v>
      </c>
      <c r="B69">
        <v>2018</v>
      </c>
      <c r="C69">
        <v>55474</v>
      </c>
      <c r="D69" t="s">
        <v>40</v>
      </c>
    </row>
    <row r="70" spans="1:4" x14ac:dyDescent="0.45">
      <c r="A70">
        <v>36045</v>
      </c>
      <c r="B70">
        <v>2023</v>
      </c>
      <c r="C70">
        <v>63810</v>
      </c>
      <c r="D70" t="s">
        <v>40</v>
      </c>
    </row>
    <row r="71" spans="1:4" x14ac:dyDescent="0.45">
      <c r="A71">
        <v>36047</v>
      </c>
      <c r="B71">
        <v>2013</v>
      </c>
      <c r="C71">
        <v>48197</v>
      </c>
      <c r="D71" t="s">
        <v>41</v>
      </c>
    </row>
    <row r="72" spans="1:4" x14ac:dyDescent="0.45">
      <c r="A72">
        <v>36047</v>
      </c>
      <c r="B72">
        <v>2018</v>
      </c>
      <c r="C72">
        <v>56966</v>
      </c>
      <c r="D72" t="s">
        <v>41</v>
      </c>
    </row>
    <row r="73" spans="1:4" x14ac:dyDescent="0.45">
      <c r="A73">
        <v>36047</v>
      </c>
      <c r="B73">
        <v>2023</v>
      </c>
      <c r="C73">
        <v>62942</v>
      </c>
      <c r="D73" t="s">
        <v>41</v>
      </c>
    </row>
    <row r="74" spans="1:4" x14ac:dyDescent="0.45">
      <c r="A74">
        <v>36049</v>
      </c>
      <c r="B74">
        <v>2013</v>
      </c>
      <c r="C74">
        <v>53701</v>
      </c>
      <c r="D74" t="s">
        <v>42</v>
      </c>
    </row>
    <row r="75" spans="1:4" x14ac:dyDescent="0.45">
      <c r="A75">
        <v>36049</v>
      </c>
      <c r="B75">
        <v>2018</v>
      </c>
      <c r="C75">
        <v>58638</v>
      </c>
      <c r="D75" t="s">
        <v>42</v>
      </c>
    </row>
    <row r="76" spans="1:4" x14ac:dyDescent="0.45">
      <c r="A76">
        <v>36049</v>
      </c>
      <c r="B76">
        <v>2023</v>
      </c>
      <c r="C76">
        <v>67147</v>
      </c>
      <c r="D76" t="s">
        <v>42</v>
      </c>
    </row>
    <row r="77" spans="1:4" x14ac:dyDescent="0.45">
      <c r="A77">
        <v>36051</v>
      </c>
      <c r="B77">
        <v>2013</v>
      </c>
      <c r="C77">
        <v>54967</v>
      </c>
      <c r="D77" t="s">
        <v>43</v>
      </c>
    </row>
    <row r="78" spans="1:4" x14ac:dyDescent="0.45">
      <c r="A78">
        <v>36051</v>
      </c>
      <c r="B78">
        <v>2018</v>
      </c>
      <c r="C78">
        <v>61021</v>
      </c>
      <c r="D78" t="s">
        <v>43</v>
      </c>
    </row>
    <row r="79" spans="1:4" x14ac:dyDescent="0.45">
      <c r="A79">
        <v>36051</v>
      </c>
      <c r="B79">
        <v>2023</v>
      </c>
      <c r="C79">
        <v>66605</v>
      </c>
      <c r="D79" t="s">
        <v>43</v>
      </c>
    </row>
    <row r="80" spans="1:4" x14ac:dyDescent="0.45">
      <c r="A80">
        <v>36053</v>
      </c>
      <c r="B80">
        <v>2013</v>
      </c>
      <c r="C80">
        <v>53964</v>
      </c>
      <c r="D80" t="s">
        <v>44</v>
      </c>
    </row>
    <row r="81" spans="1:4" x14ac:dyDescent="0.45">
      <c r="A81">
        <v>36053</v>
      </c>
      <c r="B81">
        <v>2018</v>
      </c>
      <c r="C81">
        <v>60527</v>
      </c>
      <c r="D81" t="s">
        <v>44</v>
      </c>
    </row>
    <row r="82" spans="1:4" x14ac:dyDescent="0.45">
      <c r="A82">
        <v>36053</v>
      </c>
      <c r="B82">
        <v>2023</v>
      </c>
      <c r="C82">
        <v>65950</v>
      </c>
      <c r="D82" t="s">
        <v>44</v>
      </c>
    </row>
    <row r="83" spans="1:4" x14ac:dyDescent="0.45">
      <c r="A83">
        <v>36055</v>
      </c>
      <c r="B83">
        <v>2013</v>
      </c>
      <c r="C83">
        <v>51447</v>
      </c>
      <c r="D83" t="s">
        <v>45</v>
      </c>
    </row>
    <row r="84" spans="1:4" x14ac:dyDescent="0.45">
      <c r="A84">
        <v>36055</v>
      </c>
      <c r="B84">
        <v>2018</v>
      </c>
      <c r="C84">
        <v>55844</v>
      </c>
      <c r="D84" t="s">
        <v>45</v>
      </c>
    </row>
    <row r="85" spans="1:4" x14ac:dyDescent="0.45">
      <c r="A85">
        <v>36055</v>
      </c>
      <c r="B85">
        <v>2023</v>
      </c>
      <c r="C85">
        <v>58183</v>
      </c>
      <c r="D85" t="s">
        <v>45</v>
      </c>
    </row>
    <row r="86" spans="1:4" x14ac:dyDescent="0.45">
      <c r="A86">
        <v>36057</v>
      </c>
      <c r="B86">
        <v>2013</v>
      </c>
      <c r="C86">
        <v>46639</v>
      </c>
      <c r="D86" t="s">
        <v>46</v>
      </c>
    </row>
    <row r="87" spans="1:4" x14ac:dyDescent="0.45">
      <c r="A87">
        <v>36057</v>
      </c>
      <c r="B87">
        <v>2018</v>
      </c>
      <c r="C87">
        <v>52086</v>
      </c>
      <c r="D87" t="s">
        <v>46</v>
      </c>
    </row>
    <row r="88" spans="1:4" x14ac:dyDescent="0.45">
      <c r="A88">
        <v>36057</v>
      </c>
      <c r="B88">
        <v>2023</v>
      </c>
      <c r="C88">
        <v>57713</v>
      </c>
      <c r="D88" t="s">
        <v>46</v>
      </c>
    </row>
    <row r="89" spans="1:4" x14ac:dyDescent="0.45">
      <c r="A89">
        <v>36059</v>
      </c>
      <c r="B89">
        <v>2013</v>
      </c>
      <c r="C89">
        <v>96231</v>
      </c>
      <c r="D89" t="s">
        <v>47</v>
      </c>
    </row>
    <row r="90" spans="1:4" x14ac:dyDescent="0.45">
      <c r="A90">
        <v>36059</v>
      </c>
      <c r="B90">
        <v>2018</v>
      </c>
      <c r="C90">
        <v>107668</v>
      </c>
      <c r="D90" t="s">
        <v>47</v>
      </c>
    </row>
    <row r="91" spans="1:4" x14ac:dyDescent="0.45">
      <c r="A91">
        <v>36059</v>
      </c>
      <c r="B91">
        <v>2023</v>
      </c>
      <c r="C91">
        <v>116259</v>
      </c>
      <c r="D91" t="s">
        <v>47</v>
      </c>
    </row>
    <row r="92" spans="1:4" x14ac:dyDescent="0.45">
      <c r="A92">
        <v>36061</v>
      </c>
      <c r="B92">
        <v>2013</v>
      </c>
      <c r="C92">
        <v>80238</v>
      </c>
      <c r="D92" t="s">
        <v>48</v>
      </c>
    </row>
    <row r="93" spans="1:4" x14ac:dyDescent="0.45">
      <c r="A93">
        <v>36061</v>
      </c>
      <c r="B93">
        <v>2018</v>
      </c>
      <c r="C93">
        <v>94619</v>
      </c>
      <c r="D93" t="s">
        <v>48</v>
      </c>
    </row>
    <row r="94" spans="1:4" x14ac:dyDescent="0.45">
      <c r="A94">
        <v>36061</v>
      </c>
      <c r="B94">
        <v>2023</v>
      </c>
      <c r="C94">
        <v>109622</v>
      </c>
      <c r="D94" t="s">
        <v>48</v>
      </c>
    </row>
    <row r="95" spans="1:4" x14ac:dyDescent="0.45">
      <c r="A95">
        <v>36063</v>
      </c>
      <c r="B95">
        <v>2013</v>
      </c>
      <c r="C95">
        <v>50122</v>
      </c>
      <c r="D95" t="s">
        <v>49</v>
      </c>
    </row>
    <row r="96" spans="1:4" x14ac:dyDescent="0.45">
      <c r="A96">
        <v>36063</v>
      </c>
      <c r="B96">
        <v>2018</v>
      </c>
      <c r="C96">
        <v>56703</v>
      </c>
      <c r="D96" t="s">
        <v>49</v>
      </c>
    </row>
    <row r="97" spans="1:4" x14ac:dyDescent="0.45">
      <c r="A97">
        <v>36063</v>
      </c>
      <c r="B97">
        <v>2023</v>
      </c>
      <c r="C97">
        <v>60633</v>
      </c>
      <c r="D97" t="s">
        <v>49</v>
      </c>
    </row>
    <row r="98" spans="1:4" x14ac:dyDescent="0.45">
      <c r="A98">
        <v>36065</v>
      </c>
      <c r="B98">
        <v>2013</v>
      </c>
      <c r="C98">
        <v>45726</v>
      </c>
      <c r="D98" t="s">
        <v>50</v>
      </c>
    </row>
    <row r="99" spans="1:4" x14ac:dyDescent="0.45">
      <c r="A99">
        <v>36065</v>
      </c>
      <c r="B99">
        <v>2018</v>
      </c>
      <c r="C99">
        <v>50436</v>
      </c>
      <c r="D99" t="s">
        <v>50</v>
      </c>
    </row>
    <row r="100" spans="1:4" x14ac:dyDescent="0.45">
      <c r="A100">
        <v>36065</v>
      </c>
      <c r="B100">
        <v>2023</v>
      </c>
      <c r="C100">
        <v>54696</v>
      </c>
      <c r="D100" t="s">
        <v>50</v>
      </c>
    </row>
    <row r="101" spans="1:4" x14ac:dyDescent="0.45">
      <c r="A101">
        <v>36067</v>
      </c>
      <c r="B101">
        <v>2013</v>
      </c>
      <c r="C101">
        <v>50218</v>
      </c>
      <c r="D101" t="s">
        <v>51</v>
      </c>
    </row>
    <row r="102" spans="1:4" x14ac:dyDescent="0.45">
      <c r="A102">
        <v>36067</v>
      </c>
      <c r="B102">
        <v>2018</v>
      </c>
      <c r="C102">
        <v>56261</v>
      </c>
      <c r="D102" t="s">
        <v>51</v>
      </c>
    </row>
    <row r="103" spans="1:4" x14ac:dyDescent="0.45">
      <c r="A103">
        <v>36067</v>
      </c>
      <c r="B103">
        <v>2023</v>
      </c>
      <c r="C103">
        <v>60325</v>
      </c>
      <c r="D103" t="s">
        <v>51</v>
      </c>
    </row>
    <row r="104" spans="1:4" x14ac:dyDescent="0.45">
      <c r="A104">
        <v>36069</v>
      </c>
      <c r="B104">
        <v>2013</v>
      </c>
      <c r="C104">
        <v>55385</v>
      </c>
      <c r="D104" t="s">
        <v>52</v>
      </c>
    </row>
    <row r="105" spans="1:4" x14ac:dyDescent="0.45">
      <c r="A105">
        <v>36069</v>
      </c>
      <c r="B105">
        <v>2018</v>
      </c>
      <c r="C105">
        <v>64362</v>
      </c>
      <c r="D105" t="s">
        <v>52</v>
      </c>
    </row>
    <row r="106" spans="1:4" x14ac:dyDescent="0.45">
      <c r="A106">
        <v>36069</v>
      </c>
      <c r="B106">
        <v>2023</v>
      </c>
      <c r="C106">
        <v>70195</v>
      </c>
      <c r="D106" t="s">
        <v>52</v>
      </c>
    </row>
    <row r="107" spans="1:4" x14ac:dyDescent="0.45">
      <c r="A107">
        <v>36071</v>
      </c>
      <c r="B107">
        <v>2013</v>
      </c>
      <c r="C107">
        <v>68794</v>
      </c>
      <c r="D107" t="s">
        <v>53</v>
      </c>
    </row>
    <row r="108" spans="1:4" x14ac:dyDescent="0.45">
      <c r="A108">
        <v>36071</v>
      </c>
      <c r="B108">
        <v>2018</v>
      </c>
      <c r="C108">
        <v>75182</v>
      </c>
      <c r="D108" t="s">
        <v>53</v>
      </c>
    </row>
    <row r="109" spans="1:4" x14ac:dyDescent="0.45">
      <c r="A109">
        <v>36071</v>
      </c>
      <c r="B109">
        <v>2023</v>
      </c>
      <c r="C109">
        <v>81383</v>
      </c>
      <c r="D109" t="s">
        <v>53</v>
      </c>
    </row>
    <row r="110" spans="1:4" x14ac:dyDescent="0.45">
      <c r="A110">
        <v>36073</v>
      </c>
      <c r="B110">
        <v>2013</v>
      </c>
      <c r="C110">
        <v>51189</v>
      </c>
      <c r="D110" t="s">
        <v>54</v>
      </c>
    </row>
    <row r="111" spans="1:4" x14ac:dyDescent="0.45">
      <c r="A111">
        <v>36073</v>
      </c>
      <c r="B111">
        <v>2018</v>
      </c>
      <c r="C111">
        <v>56573</v>
      </c>
      <c r="D111" t="s">
        <v>54</v>
      </c>
    </row>
    <row r="112" spans="1:4" x14ac:dyDescent="0.45">
      <c r="A112">
        <v>36073</v>
      </c>
      <c r="B112">
        <v>2023</v>
      </c>
      <c r="C112">
        <v>61236</v>
      </c>
      <c r="D112" t="s">
        <v>54</v>
      </c>
    </row>
    <row r="113" spans="1:4" x14ac:dyDescent="0.45">
      <c r="A113">
        <v>36075</v>
      </c>
      <c r="B113">
        <v>2013</v>
      </c>
      <c r="C113">
        <v>49723</v>
      </c>
      <c r="D113" t="s">
        <v>55</v>
      </c>
    </row>
    <row r="114" spans="1:4" x14ac:dyDescent="0.45">
      <c r="A114">
        <v>36075</v>
      </c>
      <c r="B114">
        <v>2018</v>
      </c>
      <c r="C114">
        <v>56412</v>
      </c>
      <c r="D114" t="s">
        <v>55</v>
      </c>
    </row>
    <row r="115" spans="1:4" x14ac:dyDescent="0.45">
      <c r="A115">
        <v>36075</v>
      </c>
      <c r="B115">
        <v>2023</v>
      </c>
      <c r="C115">
        <v>61994</v>
      </c>
      <c r="D115" t="s">
        <v>55</v>
      </c>
    </row>
    <row r="116" spans="1:4" x14ac:dyDescent="0.45">
      <c r="A116">
        <v>36077</v>
      </c>
      <c r="B116">
        <v>2013</v>
      </c>
      <c r="C116">
        <v>50006</v>
      </c>
      <c r="D116" t="s">
        <v>56</v>
      </c>
    </row>
    <row r="117" spans="1:4" x14ac:dyDescent="0.45">
      <c r="A117">
        <v>36077</v>
      </c>
      <c r="B117">
        <v>2018</v>
      </c>
      <c r="C117">
        <v>55959</v>
      </c>
      <c r="D117" t="s">
        <v>56</v>
      </c>
    </row>
    <row r="118" spans="1:4" x14ac:dyDescent="0.45">
      <c r="A118">
        <v>36077</v>
      </c>
      <c r="B118">
        <v>2023</v>
      </c>
      <c r="C118">
        <v>60508</v>
      </c>
      <c r="D118" t="s">
        <v>56</v>
      </c>
    </row>
    <row r="119" spans="1:4" x14ac:dyDescent="0.45">
      <c r="A119">
        <v>36079</v>
      </c>
      <c r="B119">
        <v>2013</v>
      </c>
      <c r="C119">
        <v>76317</v>
      </c>
      <c r="D119" t="s">
        <v>57</v>
      </c>
    </row>
    <row r="120" spans="1:4" x14ac:dyDescent="0.45">
      <c r="A120">
        <v>36079</v>
      </c>
      <c r="B120">
        <v>2018</v>
      </c>
      <c r="C120">
        <v>87515</v>
      </c>
      <c r="D120" t="s">
        <v>57</v>
      </c>
    </row>
    <row r="121" spans="1:4" x14ac:dyDescent="0.45">
      <c r="A121">
        <v>36079</v>
      </c>
      <c r="B121">
        <v>2023</v>
      </c>
      <c r="C121">
        <v>95825</v>
      </c>
      <c r="D121" t="s">
        <v>57</v>
      </c>
    </row>
    <row r="122" spans="1:4" x14ac:dyDescent="0.45">
      <c r="A122">
        <v>36081</v>
      </c>
      <c r="B122">
        <v>2013</v>
      </c>
      <c r="C122">
        <v>56625</v>
      </c>
      <c r="D122" t="s">
        <v>58</v>
      </c>
    </row>
    <row r="123" spans="1:4" x14ac:dyDescent="0.45">
      <c r="A123">
        <v>36081</v>
      </c>
      <c r="B123">
        <v>2018</v>
      </c>
      <c r="C123">
        <v>64363</v>
      </c>
      <c r="D123" t="s">
        <v>58</v>
      </c>
    </row>
    <row r="124" spans="1:4" x14ac:dyDescent="0.45">
      <c r="A124">
        <v>36081</v>
      </c>
      <c r="B124">
        <v>2023</v>
      </c>
      <c r="C124">
        <v>68972</v>
      </c>
      <c r="D124" t="s">
        <v>58</v>
      </c>
    </row>
    <row r="125" spans="1:4" x14ac:dyDescent="0.45">
      <c r="A125">
        <v>36083</v>
      </c>
      <c r="B125">
        <v>2013</v>
      </c>
      <c r="C125">
        <v>57028</v>
      </c>
      <c r="D125" t="s">
        <v>59</v>
      </c>
    </row>
    <row r="126" spans="1:4" x14ac:dyDescent="0.45">
      <c r="A126">
        <v>36083</v>
      </c>
      <c r="B126">
        <v>2018</v>
      </c>
      <c r="C126">
        <v>64293</v>
      </c>
      <c r="D126" t="s">
        <v>59</v>
      </c>
    </row>
    <row r="127" spans="1:4" x14ac:dyDescent="0.45">
      <c r="A127">
        <v>36083</v>
      </c>
      <c r="B127">
        <v>2023</v>
      </c>
      <c r="C127">
        <v>70380</v>
      </c>
      <c r="D127" t="s">
        <v>59</v>
      </c>
    </row>
    <row r="128" spans="1:4" x14ac:dyDescent="0.45">
      <c r="A128">
        <v>36085</v>
      </c>
      <c r="B128">
        <v>2013</v>
      </c>
      <c r="C128">
        <v>67711</v>
      </c>
      <c r="D128" t="s">
        <v>60</v>
      </c>
    </row>
    <row r="129" spans="1:4" x14ac:dyDescent="0.45">
      <c r="A129">
        <v>36085</v>
      </c>
      <c r="B129">
        <v>2018</v>
      </c>
      <c r="C129">
        <v>75387</v>
      </c>
      <c r="D129" t="s">
        <v>60</v>
      </c>
    </row>
    <row r="130" spans="1:4" x14ac:dyDescent="0.45">
      <c r="A130">
        <v>36085</v>
      </c>
      <c r="B130">
        <v>2023</v>
      </c>
      <c r="C130">
        <v>80201</v>
      </c>
      <c r="D130" t="s">
        <v>60</v>
      </c>
    </row>
    <row r="131" spans="1:4" x14ac:dyDescent="0.45">
      <c r="A131">
        <v>36087</v>
      </c>
      <c r="B131">
        <v>2013</v>
      </c>
      <c r="C131">
        <v>76343</v>
      </c>
      <c r="D131" t="s">
        <v>61</v>
      </c>
    </row>
    <row r="132" spans="1:4" x14ac:dyDescent="0.45">
      <c r="A132">
        <v>36087</v>
      </c>
      <c r="B132">
        <v>2018</v>
      </c>
      <c r="C132">
        <v>85180</v>
      </c>
      <c r="D132" t="s">
        <v>61</v>
      </c>
    </row>
    <row r="133" spans="1:4" x14ac:dyDescent="0.45">
      <c r="A133">
        <v>36087</v>
      </c>
      <c r="B133">
        <v>2023</v>
      </c>
      <c r="C133">
        <v>90812</v>
      </c>
      <c r="D133" t="s">
        <v>61</v>
      </c>
    </row>
    <row r="134" spans="1:4" x14ac:dyDescent="0.45">
      <c r="A134">
        <v>36089</v>
      </c>
      <c r="B134">
        <v>2013</v>
      </c>
      <c r="C134">
        <v>47829</v>
      </c>
      <c r="D134" t="s">
        <v>62</v>
      </c>
    </row>
    <row r="135" spans="1:4" x14ac:dyDescent="0.45">
      <c r="A135">
        <v>36089</v>
      </c>
      <c r="B135">
        <v>2018</v>
      </c>
      <c r="C135">
        <v>53280</v>
      </c>
      <c r="D135" t="s">
        <v>62</v>
      </c>
    </row>
    <row r="136" spans="1:4" x14ac:dyDescent="0.45">
      <c r="A136">
        <v>36089</v>
      </c>
      <c r="B136">
        <v>2023</v>
      </c>
      <c r="C136">
        <v>58521</v>
      </c>
      <c r="D136" t="s">
        <v>62</v>
      </c>
    </row>
    <row r="137" spans="1:4" x14ac:dyDescent="0.45">
      <c r="A137">
        <v>36091</v>
      </c>
      <c r="B137">
        <v>2013</v>
      </c>
      <c r="C137">
        <v>68927</v>
      </c>
      <c r="D137" t="s">
        <v>63</v>
      </c>
    </row>
    <row r="138" spans="1:4" x14ac:dyDescent="0.45">
      <c r="A138">
        <v>36091</v>
      </c>
      <c r="B138">
        <v>2018</v>
      </c>
      <c r="C138">
        <v>81343</v>
      </c>
      <c r="D138" t="s">
        <v>63</v>
      </c>
    </row>
    <row r="139" spans="1:4" x14ac:dyDescent="0.45">
      <c r="A139">
        <v>36091</v>
      </c>
      <c r="B139">
        <v>2023</v>
      </c>
      <c r="C139">
        <v>91109</v>
      </c>
      <c r="D139" t="s">
        <v>63</v>
      </c>
    </row>
    <row r="140" spans="1:4" x14ac:dyDescent="0.45">
      <c r="A140">
        <v>36093</v>
      </c>
      <c r="B140">
        <v>2013</v>
      </c>
      <c r="C140">
        <v>53226</v>
      </c>
      <c r="D140" t="s">
        <v>64</v>
      </c>
    </row>
    <row r="141" spans="1:4" x14ac:dyDescent="0.45">
      <c r="A141">
        <v>36093</v>
      </c>
      <c r="B141">
        <v>2018</v>
      </c>
      <c r="C141">
        <v>57557</v>
      </c>
      <c r="D141" t="s">
        <v>64</v>
      </c>
    </row>
    <row r="142" spans="1:4" x14ac:dyDescent="0.45">
      <c r="A142">
        <v>36093</v>
      </c>
      <c r="B142">
        <v>2023</v>
      </c>
      <c r="C142">
        <v>62607</v>
      </c>
      <c r="D142" t="s">
        <v>64</v>
      </c>
    </row>
    <row r="143" spans="1:4" x14ac:dyDescent="0.45">
      <c r="A143">
        <v>36095</v>
      </c>
      <c r="B143">
        <v>2013</v>
      </c>
      <c r="C143">
        <v>50817</v>
      </c>
      <c r="D143" t="s">
        <v>65</v>
      </c>
    </row>
    <row r="144" spans="1:4" x14ac:dyDescent="0.45">
      <c r="A144">
        <v>36095</v>
      </c>
      <c r="B144">
        <v>2018</v>
      </c>
      <c r="C144">
        <v>56216</v>
      </c>
      <c r="D144" t="s">
        <v>65</v>
      </c>
    </row>
    <row r="145" spans="1:4" x14ac:dyDescent="0.45">
      <c r="A145">
        <v>36095</v>
      </c>
      <c r="B145">
        <v>2023</v>
      </c>
      <c r="C145">
        <v>60122</v>
      </c>
      <c r="D145" t="s">
        <v>65</v>
      </c>
    </row>
    <row r="146" spans="1:4" x14ac:dyDescent="0.45">
      <c r="A146">
        <v>36097</v>
      </c>
      <c r="B146">
        <v>2013</v>
      </c>
      <c r="C146">
        <v>49512</v>
      </c>
      <c r="D146" t="s">
        <v>66</v>
      </c>
    </row>
    <row r="147" spans="1:4" x14ac:dyDescent="0.45">
      <c r="A147">
        <v>36097</v>
      </c>
      <c r="B147">
        <v>2018</v>
      </c>
      <c r="C147">
        <v>57580</v>
      </c>
      <c r="D147" t="s">
        <v>66</v>
      </c>
    </row>
    <row r="148" spans="1:4" x14ac:dyDescent="0.45">
      <c r="A148">
        <v>36097</v>
      </c>
      <c r="B148">
        <v>2023</v>
      </c>
      <c r="C148">
        <v>64673</v>
      </c>
      <c r="D148" t="s">
        <v>66</v>
      </c>
    </row>
    <row r="149" spans="1:4" x14ac:dyDescent="0.45">
      <c r="A149">
        <v>36099</v>
      </c>
      <c r="B149">
        <v>2013</v>
      </c>
      <c r="C149">
        <v>54715</v>
      </c>
      <c r="D149" t="s">
        <v>67</v>
      </c>
    </row>
    <row r="150" spans="1:4" x14ac:dyDescent="0.45">
      <c r="A150">
        <v>36099</v>
      </c>
      <c r="B150">
        <v>2018</v>
      </c>
      <c r="C150">
        <v>58342</v>
      </c>
      <c r="D150" t="s">
        <v>67</v>
      </c>
    </row>
    <row r="151" spans="1:4" x14ac:dyDescent="0.45">
      <c r="A151">
        <v>36099</v>
      </c>
      <c r="B151">
        <v>2023</v>
      </c>
      <c r="C151">
        <v>61644</v>
      </c>
      <c r="D151" t="s">
        <v>67</v>
      </c>
    </row>
    <row r="152" spans="1:4" x14ac:dyDescent="0.45">
      <c r="A152">
        <v>36101</v>
      </c>
      <c r="B152">
        <v>2013</v>
      </c>
      <c r="C152">
        <v>48470</v>
      </c>
      <c r="D152" t="s">
        <v>68</v>
      </c>
    </row>
    <row r="153" spans="1:4" x14ac:dyDescent="0.45">
      <c r="A153">
        <v>36101</v>
      </c>
      <c r="B153">
        <v>2018</v>
      </c>
      <c r="C153">
        <v>53760</v>
      </c>
      <c r="D153" t="s">
        <v>68</v>
      </c>
    </row>
    <row r="154" spans="1:4" x14ac:dyDescent="0.45">
      <c r="A154">
        <v>36101</v>
      </c>
      <c r="B154">
        <v>2023</v>
      </c>
      <c r="C154">
        <v>58387</v>
      </c>
      <c r="D154" t="s">
        <v>68</v>
      </c>
    </row>
    <row r="155" spans="1:4" x14ac:dyDescent="0.45">
      <c r="A155">
        <v>36103</v>
      </c>
      <c r="B155">
        <v>2013</v>
      </c>
      <c r="C155">
        <v>86122</v>
      </c>
      <c r="D155" t="s">
        <v>69</v>
      </c>
    </row>
    <row r="156" spans="1:4" x14ac:dyDescent="0.45">
      <c r="A156">
        <v>36103</v>
      </c>
      <c r="B156">
        <v>2018</v>
      </c>
      <c r="C156">
        <v>96151</v>
      </c>
      <c r="D156" t="s">
        <v>69</v>
      </c>
    </row>
    <row r="157" spans="1:4" x14ac:dyDescent="0.45">
      <c r="A157">
        <v>36103</v>
      </c>
      <c r="B157">
        <v>2023</v>
      </c>
      <c r="C157">
        <v>103030</v>
      </c>
      <c r="D157" t="s">
        <v>69</v>
      </c>
    </row>
    <row r="158" spans="1:4" x14ac:dyDescent="0.45">
      <c r="A158">
        <v>36105</v>
      </c>
      <c r="B158">
        <v>2013</v>
      </c>
      <c r="C158">
        <v>49324</v>
      </c>
      <c r="D158" t="s">
        <v>70</v>
      </c>
    </row>
    <row r="159" spans="1:4" x14ac:dyDescent="0.45">
      <c r="A159">
        <v>36105</v>
      </c>
      <c r="B159">
        <v>2018</v>
      </c>
      <c r="C159">
        <v>57563</v>
      </c>
      <c r="D159" t="s">
        <v>70</v>
      </c>
    </row>
    <row r="160" spans="1:4" x14ac:dyDescent="0.45">
      <c r="A160">
        <v>36105</v>
      </c>
      <c r="B160">
        <v>2023</v>
      </c>
      <c r="C160">
        <v>62240</v>
      </c>
      <c r="D160" t="s">
        <v>70</v>
      </c>
    </row>
    <row r="161" spans="1:4" x14ac:dyDescent="0.45">
      <c r="A161">
        <v>36107</v>
      </c>
      <c r="B161">
        <v>2013</v>
      </c>
      <c r="C161">
        <v>55554</v>
      </c>
      <c r="D161" t="s">
        <v>71</v>
      </c>
    </row>
    <row r="162" spans="1:4" x14ac:dyDescent="0.45">
      <c r="A162">
        <v>36107</v>
      </c>
      <c r="B162">
        <v>2018</v>
      </c>
      <c r="C162">
        <v>61361</v>
      </c>
      <c r="D162" t="s">
        <v>71</v>
      </c>
    </row>
    <row r="163" spans="1:4" x14ac:dyDescent="0.45">
      <c r="A163">
        <v>36107</v>
      </c>
      <c r="B163">
        <v>2023</v>
      </c>
      <c r="C163">
        <v>66177</v>
      </c>
      <c r="D163" t="s">
        <v>71</v>
      </c>
    </row>
    <row r="164" spans="1:4" x14ac:dyDescent="0.45">
      <c r="A164">
        <v>36109</v>
      </c>
      <c r="B164">
        <v>2013</v>
      </c>
      <c r="C164">
        <v>53339</v>
      </c>
      <c r="D164" t="s">
        <v>72</v>
      </c>
    </row>
    <row r="165" spans="1:4" x14ac:dyDescent="0.45">
      <c r="A165">
        <v>36109</v>
      </c>
      <c r="B165">
        <v>2018</v>
      </c>
      <c r="C165">
        <v>60447</v>
      </c>
      <c r="D165" t="s">
        <v>72</v>
      </c>
    </row>
    <row r="166" spans="1:4" x14ac:dyDescent="0.45">
      <c r="A166">
        <v>36109</v>
      </c>
      <c r="B166">
        <v>2023</v>
      </c>
      <c r="C166">
        <v>67472</v>
      </c>
      <c r="D166" t="s">
        <v>72</v>
      </c>
    </row>
    <row r="167" spans="1:4" x14ac:dyDescent="0.45">
      <c r="A167">
        <v>36111</v>
      </c>
      <c r="B167">
        <v>2013</v>
      </c>
      <c r="C167">
        <v>58609</v>
      </c>
      <c r="D167" t="s">
        <v>73</v>
      </c>
    </row>
    <row r="168" spans="1:4" x14ac:dyDescent="0.45">
      <c r="A168">
        <v>36111</v>
      </c>
      <c r="B168">
        <v>2018</v>
      </c>
      <c r="C168">
        <v>66415</v>
      </c>
      <c r="D168" t="s">
        <v>73</v>
      </c>
    </row>
    <row r="169" spans="1:4" x14ac:dyDescent="0.45">
      <c r="A169">
        <v>36111</v>
      </c>
      <c r="B169">
        <v>2023</v>
      </c>
      <c r="C169">
        <v>72237</v>
      </c>
      <c r="D169" t="s">
        <v>73</v>
      </c>
    </row>
    <row r="170" spans="1:4" x14ac:dyDescent="0.45">
      <c r="A170">
        <v>36113</v>
      </c>
      <c r="B170">
        <v>2013</v>
      </c>
      <c r="C170">
        <v>53104</v>
      </c>
      <c r="D170" t="s">
        <v>74</v>
      </c>
    </row>
    <row r="171" spans="1:4" x14ac:dyDescent="0.45">
      <c r="A171">
        <v>36113</v>
      </c>
      <c r="B171">
        <v>2018</v>
      </c>
      <c r="C171">
        <v>60076</v>
      </c>
      <c r="D171" t="s">
        <v>74</v>
      </c>
    </row>
    <row r="172" spans="1:4" x14ac:dyDescent="0.45">
      <c r="A172">
        <v>36113</v>
      </c>
      <c r="B172">
        <v>2023</v>
      </c>
      <c r="C172">
        <v>66926</v>
      </c>
      <c r="D172" t="s">
        <v>74</v>
      </c>
    </row>
    <row r="173" spans="1:4" x14ac:dyDescent="0.45">
      <c r="A173">
        <v>36115</v>
      </c>
      <c r="B173">
        <v>2013</v>
      </c>
      <c r="C173">
        <v>54791</v>
      </c>
      <c r="D173" t="s">
        <v>75</v>
      </c>
    </row>
    <row r="174" spans="1:4" x14ac:dyDescent="0.45">
      <c r="A174">
        <v>36115</v>
      </c>
      <c r="B174">
        <v>2018</v>
      </c>
      <c r="C174">
        <v>61980</v>
      </c>
      <c r="D174" t="s">
        <v>75</v>
      </c>
    </row>
    <row r="175" spans="1:4" x14ac:dyDescent="0.45">
      <c r="A175">
        <v>36115</v>
      </c>
      <c r="B175">
        <v>2023</v>
      </c>
      <c r="C175">
        <v>68303</v>
      </c>
      <c r="D175" t="s">
        <v>75</v>
      </c>
    </row>
    <row r="176" spans="1:4" x14ac:dyDescent="0.45">
      <c r="A176">
        <v>36117</v>
      </c>
      <c r="B176">
        <v>2013</v>
      </c>
      <c r="C176">
        <v>54552</v>
      </c>
      <c r="D176" t="s">
        <v>76</v>
      </c>
    </row>
    <row r="177" spans="1:4" x14ac:dyDescent="0.45">
      <c r="A177">
        <v>36117</v>
      </c>
      <c r="B177">
        <v>2018</v>
      </c>
      <c r="C177">
        <v>59927</v>
      </c>
      <c r="D177" t="s">
        <v>76</v>
      </c>
    </row>
    <row r="178" spans="1:4" x14ac:dyDescent="0.45">
      <c r="A178">
        <v>36117</v>
      </c>
      <c r="B178">
        <v>2023</v>
      </c>
      <c r="C178">
        <v>63562</v>
      </c>
      <c r="D178" t="s">
        <v>76</v>
      </c>
    </row>
    <row r="179" spans="1:4" x14ac:dyDescent="0.45">
      <c r="A179">
        <v>36119</v>
      </c>
      <c r="B179">
        <v>2013</v>
      </c>
      <c r="C179">
        <v>81609</v>
      </c>
      <c r="D179" t="s">
        <v>77</v>
      </c>
    </row>
    <row r="180" spans="1:4" x14ac:dyDescent="0.45">
      <c r="A180">
        <v>36119</v>
      </c>
      <c r="B180">
        <v>2018</v>
      </c>
      <c r="C180">
        <v>92963</v>
      </c>
      <c r="D180" t="s">
        <v>77</v>
      </c>
    </row>
    <row r="181" spans="1:4" x14ac:dyDescent="0.45">
      <c r="A181">
        <v>36119</v>
      </c>
      <c r="B181">
        <v>2023</v>
      </c>
      <c r="C181">
        <v>103313</v>
      </c>
      <c r="D181" t="s">
        <v>77</v>
      </c>
    </row>
    <row r="182" spans="1:4" x14ac:dyDescent="0.45">
      <c r="A182">
        <v>36121</v>
      </c>
      <c r="B182">
        <v>2013</v>
      </c>
      <c r="C182">
        <v>57731</v>
      </c>
      <c r="D182" t="s">
        <v>78</v>
      </c>
    </row>
    <row r="183" spans="1:4" x14ac:dyDescent="0.45">
      <c r="A183">
        <v>36121</v>
      </c>
      <c r="B183">
        <v>2018</v>
      </c>
      <c r="C183">
        <v>62913</v>
      </c>
      <c r="D183" t="s">
        <v>78</v>
      </c>
    </row>
    <row r="184" spans="1:4" x14ac:dyDescent="0.45">
      <c r="A184">
        <v>36121</v>
      </c>
      <c r="B184">
        <v>2023</v>
      </c>
      <c r="C184">
        <v>69529</v>
      </c>
      <c r="D184" t="s">
        <v>78</v>
      </c>
    </row>
    <row r="185" spans="1:4" x14ac:dyDescent="0.45">
      <c r="A185">
        <v>36123</v>
      </c>
      <c r="B185">
        <v>2013</v>
      </c>
      <c r="C185">
        <v>56977</v>
      </c>
      <c r="D185" t="s">
        <v>79</v>
      </c>
    </row>
    <row r="186" spans="1:4" x14ac:dyDescent="0.45">
      <c r="A186">
        <v>36123</v>
      </c>
      <c r="B186">
        <v>2018</v>
      </c>
      <c r="C186">
        <v>61219</v>
      </c>
      <c r="D186" t="s">
        <v>79</v>
      </c>
    </row>
    <row r="187" spans="1:4" x14ac:dyDescent="0.45">
      <c r="A187">
        <v>36123</v>
      </c>
      <c r="B187">
        <v>2023</v>
      </c>
      <c r="C187">
        <v>67527</v>
      </c>
      <c r="D187" t="s">
        <v>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225DB-9911-4437-9D01-CB3E8BFFE934}">
  <sheetPr codeName="Sheet5"/>
  <dimension ref="A1:B205"/>
  <sheetViews>
    <sheetView workbookViewId="0">
      <selection activeCell="B6" sqref="B6"/>
    </sheetView>
  </sheetViews>
  <sheetFormatPr defaultRowHeight="14.25" x14ac:dyDescent="0.45"/>
  <cols>
    <col min="1" max="1" width="11.73046875" bestFit="1" customWidth="1"/>
    <col min="2" max="2" width="28.19921875" bestFit="1" customWidth="1"/>
  </cols>
  <sheetData>
    <row r="1" spans="1:2" x14ac:dyDescent="0.45">
      <c r="A1" t="s">
        <v>90</v>
      </c>
      <c r="B1" t="s">
        <v>91</v>
      </c>
    </row>
    <row r="2" spans="1:2" x14ac:dyDescent="0.45">
      <c r="A2">
        <v>25025010404</v>
      </c>
      <c r="B2">
        <v>3.5407027527000001</v>
      </c>
    </row>
    <row r="3" spans="1:2" x14ac:dyDescent="0.45">
      <c r="A3">
        <v>25025070600</v>
      </c>
      <c r="B3">
        <v>9.7430300373000005</v>
      </c>
    </row>
    <row r="4" spans="1:2" x14ac:dyDescent="0.45">
      <c r="A4">
        <v>25025060101</v>
      </c>
      <c r="B4">
        <v>57.1921804686</v>
      </c>
    </row>
    <row r="5" spans="1:2" x14ac:dyDescent="0.45">
      <c r="A5">
        <v>25025140202</v>
      </c>
      <c r="B5">
        <v>86.827633268499994</v>
      </c>
    </row>
    <row r="6" spans="1:2" x14ac:dyDescent="0.45">
      <c r="A6">
        <v>25025130404</v>
      </c>
      <c r="B6">
        <v>210.3372950474</v>
      </c>
    </row>
    <row r="7" spans="1:2" x14ac:dyDescent="0.45">
      <c r="A7">
        <v>25025130100</v>
      </c>
      <c r="B7">
        <v>138.88177351100001</v>
      </c>
    </row>
    <row r="8" spans="1:2" x14ac:dyDescent="0.45">
      <c r="A8">
        <v>25025070300</v>
      </c>
      <c r="B8">
        <v>105.93828156479999</v>
      </c>
    </row>
    <row r="9" spans="1:2" x14ac:dyDescent="0.45">
      <c r="A9">
        <v>25025000202</v>
      </c>
      <c r="B9">
        <v>36.9250271127</v>
      </c>
    </row>
    <row r="10" spans="1:2" x14ac:dyDescent="0.45">
      <c r="A10">
        <v>25025981800</v>
      </c>
      <c r="B10">
        <v>6.7634277273999999</v>
      </c>
    </row>
    <row r="11" spans="1:2" x14ac:dyDescent="0.45">
      <c r="A11">
        <v>25025130402</v>
      </c>
      <c r="B11">
        <v>143.52625666750001</v>
      </c>
    </row>
    <row r="12" spans="1:2" x14ac:dyDescent="0.45">
      <c r="A12">
        <v>25025050200</v>
      </c>
      <c r="B12">
        <v>34.538764291600003</v>
      </c>
    </row>
    <row r="13" spans="1:2" x14ac:dyDescent="0.45">
      <c r="A13">
        <v>25025030400</v>
      </c>
      <c r="B13">
        <v>59.897696132999997</v>
      </c>
    </row>
    <row r="14" spans="1:2" x14ac:dyDescent="0.45">
      <c r="A14">
        <v>25025070200</v>
      </c>
      <c r="B14">
        <v>68.0349692785</v>
      </c>
    </row>
    <row r="15" spans="1:2" x14ac:dyDescent="0.45">
      <c r="A15">
        <v>25025080900</v>
      </c>
      <c r="B15">
        <v>22.435870514400001</v>
      </c>
    </row>
    <row r="16" spans="1:2" x14ac:dyDescent="0.45">
      <c r="A16">
        <v>25025000602</v>
      </c>
      <c r="B16">
        <v>39.614794609800001</v>
      </c>
    </row>
    <row r="17" spans="1:2" x14ac:dyDescent="0.45">
      <c r="A17">
        <v>25025090600</v>
      </c>
      <c r="B17">
        <v>13.9632033023</v>
      </c>
    </row>
    <row r="18" spans="1:2" x14ac:dyDescent="0.45">
      <c r="A18">
        <v>25025110401</v>
      </c>
      <c r="B18">
        <v>31.354501114400001</v>
      </c>
    </row>
    <row r="19" spans="1:2" x14ac:dyDescent="0.45">
      <c r="A19">
        <v>25025000301</v>
      </c>
      <c r="B19">
        <v>48.806453816599998</v>
      </c>
    </row>
    <row r="20" spans="1:2" x14ac:dyDescent="0.45">
      <c r="A20">
        <v>25025092200</v>
      </c>
      <c r="B20">
        <v>30.181684758199999</v>
      </c>
    </row>
    <row r="21" spans="1:2" x14ac:dyDescent="0.45">
      <c r="A21">
        <v>25025080801</v>
      </c>
      <c r="B21">
        <v>5.4859775614000004</v>
      </c>
    </row>
    <row r="22" spans="1:2" x14ac:dyDescent="0.45">
      <c r="A22">
        <v>25025180400</v>
      </c>
      <c r="B22">
        <v>33.677688785500003</v>
      </c>
    </row>
    <row r="23" spans="1:2" x14ac:dyDescent="0.45">
      <c r="A23">
        <v>25025040300</v>
      </c>
      <c r="B23">
        <v>33.3229011978</v>
      </c>
    </row>
    <row r="24" spans="1:2" x14ac:dyDescent="0.45">
      <c r="A24">
        <v>25025120600</v>
      </c>
      <c r="B24">
        <v>9.3466581287999997</v>
      </c>
    </row>
    <row r="25" spans="1:2" x14ac:dyDescent="0.45">
      <c r="A25">
        <v>25025010701</v>
      </c>
      <c r="B25">
        <v>10.511064036700001</v>
      </c>
    </row>
    <row r="26" spans="1:2" x14ac:dyDescent="0.45">
      <c r="A26">
        <v>25025010204</v>
      </c>
      <c r="B26">
        <v>3.9633687004000002</v>
      </c>
    </row>
    <row r="27" spans="1:2" x14ac:dyDescent="0.45">
      <c r="A27">
        <v>25025050300</v>
      </c>
      <c r="B27">
        <v>22.129113801500001</v>
      </c>
    </row>
    <row r="28" spans="1:2" x14ac:dyDescent="0.45">
      <c r="A28">
        <v>25025091500</v>
      </c>
      <c r="B28">
        <v>29.491469913300001</v>
      </c>
    </row>
    <row r="29" spans="1:2" x14ac:dyDescent="0.45">
      <c r="A29">
        <v>25025130406</v>
      </c>
      <c r="B29">
        <v>79.308916303800004</v>
      </c>
    </row>
    <row r="30" spans="1:2" x14ac:dyDescent="0.45">
      <c r="A30">
        <v>25025140400</v>
      </c>
      <c r="B30">
        <v>81.754705792799996</v>
      </c>
    </row>
    <row r="31" spans="1:2" x14ac:dyDescent="0.45">
      <c r="A31">
        <v>25025981100</v>
      </c>
      <c r="B31">
        <v>0.51643081570000005</v>
      </c>
    </row>
    <row r="32" spans="1:2" x14ac:dyDescent="0.45">
      <c r="A32">
        <v>25025010600</v>
      </c>
      <c r="B32">
        <v>70.588680222700006</v>
      </c>
    </row>
    <row r="33" spans="1:2" x14ac:dyDescent="0.45">
      <c r="A33">
        <v>25025160200</v>
      </c>
      <c r="B33">
        <v>11.582022818900001</v>
      </c>
    </row>
    <row r="34" spans="1:2" x14ac:dyDescent="0.45">
      <c r="A34">
        <v>25025981300</v>
      </c>
      <c r="B34">
        <v>3.0524069645999998</v>
      </c>
    </row>
    <row r="35" spans="1:2" x14ac:dyDescent="0.45">
      <c r="A35">
        <v>25025091600</v>
      </c>
      <c r="B35">
        <v>18.163065364600001</v>
      </c>
    </row>
    <row r="36" spans="1:2" x14ac:dyDescent="0.45">
      <c r="A36">
        <v>25025110103</v>
      </c>
      <c r="B36">
        <v>38.230779556999998</v>
      </c>
    </row>
    <row r="37" spans="1:2" x14ac:dyDescent="0.45">
      <c r="A37">
        <v>25025100700</v>
      </c>
      <c r="B37">
        <v>130.9837691031</v>
      </c>
    </row>
    <row r="38" spans="1:2" x14ac:dyDescent="0.45">
      <c r="A38">
        <v>25025110301</v>
      </c>
      <c r="B38">
        <v>29.9539963681</v>
      </c>
    </row>
    <row r="39" spans="1:2" x14ac:dyDescent="0.45">
      <c r="A39">
        <v>25025180200</v>
      </c>
      <c r="B39">
        <v>79.718057223599999</v>
      </c>
    </row>
    <row r="40" spans="1:2" x14ac:dyDescent="0.45">
      <c r="A40">
        <v>25025100200</v>
      </c>
      <c r="B40">
        <v>7.2881431873000002</v>
      </c>
    </row>
    <row r="41" spans="1:2" x14ac:dyDescent="0.45">
      <c r="A41">
        <v>25025070900</v>
      </c>
      <c r="B41">
        <v>20.282540338</v>
      </c>
    </row>
    <row r="42" spans="1:2" x14ac:dyDescent="0.45">
      <c r="A42">
        <v>25025090400</v>
      </c>
      <c r="B42">
        <v>14.2803281876</v>
      </c>
    </row>
    <row r="43" spans="1:2" x14ac:dyDescent="0.45">
      <c r="A43">
        <v>25025010801</v>
      </c>
      <c r="B43">
        <v>25.0475450267</v>
      </c>
    </row>
    <row r="44" spans="1:2" x14ac:dyDescent="0.45">
      <c r="A44">
        <v>25025050600</v>
      </c>
      <c r="B44">
        <v>18.2065194256</v>
      </c>
    </row>
    <row r="45" spans="1:2" x14ac:dyDescent="0.45">
      <c r="A45">
        <v>25025981502</v>
      </c>
      <c r="B45">
        <v>6.4403300000000002E-4</v>
      </c>
    </row>
    <row r="46" spans="1:2" x14ac:dyDescent="0.45">
      <c r="A46">
        <v>25025120201</v>
      </c>
      <c r="B46">
        <v>26.725865963699999</v>
      </c>
    </row>
    <row r="47" spans="1:2" x14ac:dyDescent="0.45">
      <c r="A47">
        <v>25025050101</v>
      </c>
      <c r="B47">
        <v>27.731495217700001</v>
      </c>
    </row>
    <row r="48" spans="1:2" x14ac:dyDescent="0.45">
      <c r="A48">
        <v>25025180500</v>
      </c>
      <c r="B48">
        <v>57.068526958699998</v>
      </c>
    </row>
    <row r="49" spans="1:2" x14ac:dyDescent="0.45">
      <c r="A49">
        <v>25025091200</v>
      </c>
      <c r="B49">
        <v>20.211207067499998</v>
      </c>
    </row>
    <row r="50" spans="1:2" x14ac:dyDescent="0.45">
      <c r="A50">
        <v>25025082100</v>
      </c>
      <c r="B50">
        <v>23.566468862499999</v>
      </c>
    </row>
    <row r="51" spans="1:2" x14ac:dyDescent="0.45">
      <c r="A51">
        <v>25025000701</v>
      </c>
      <c r="B51">
        <v>11.810937189500001</v>
      </c>
    </row>
    <row r="52" spans="1:2" x14ac:dyDescent="0.45">
      <c r="A52">
        <v>25025100500</v>
      </c>
      <c r="B52">
        <v>31.930167597299999</v>
      </c>
    </row>
    <row r="53" spans="1:2" x14ac:dyDescent="0.45">
      <c r="A53">
        <v>25025060800</v>
      </c>
      <c r="B53">
        <v>48.129585664300002</v>
      </c>
    </row>
    <row r="54" spans="1:2" x14ac:dyDescent="0.45">
      <c r="A54">
        <v>25025180101</v>
      </c>
      <c r="B54">
        <v>119.4538094535</v>
      </c>
    </row>
    <row r="55" spans="1:2" x14ac:dyDescent="0.45">
      <c r="A55">
        <v>25025100100</v>
      </c>
      <c r="B55">
        <v>26.502257044299999</v>
      </c>
    </row>
    <row r="56" spans="1:2" x14ac:dyDescent="0.45">
      <c r="A56">
        <v>25025110601</v>
      </c>
      <c r="B56">
        <v>344.48455898330002</v>
      </c>
    </row>
    <row r="57" spans="1:2" x14ac:dyDescent="0.45">
      <c r="A57">
        <v>25025020101</v>
      </c>
      <c r="B57">
        <v>67.691294856900001</v>
      </c>
    </row>
    <row r="58" spans="1:2" x14ac:dyDescent="0.45">
      <c r="A58">
        <v>25025100300</v>
      </c>
      <c r="B58">
        <v>12.5918105939</v>
      </c>
    </row>
    <row r="59" spans="1:2" x14ac:dyDescent="0.45">
      <c r="A59">
        <v>25025981202</v>
      </c>
      <c r="B59">
        <v>4.8799169999999998E-4</v>
      </c>
    </row>
    <row r="60" spans="1:2" x14ac:dyDescent="0.45">
      <c r="A60">
        <v>25025140107</v>
      </c>
      <c r="B60">
        <v>27.694767528700002</v>
      </c>
    </row>
    <row r="61" spans="1:2" x14ac:dyDescent="0.45">
      <c r="A61">
        <v>25025030200</v>
      </c>
      <c r="B61">
        <v>45.2279590578</v>
      </c>
    </row>
    <row r="62" spans="1:2" x14ac:dyDescent="0.45">
      <c r="A62">
        <v>25025170300</v>
      </c>
      <c r="B62">
        <v>286.16118187950002</v>
      </c>
    </row>
    <row r="63" spans="1:2" x14ac:dyDescent="0.45">
      <c r="A63">
        <v>25025140106</v>
      </c>
      <c r="B63">
        <v>10.138313318</v>
      </c>
    </row>
    <row r="64" spans="1:2" x14ac:dyDescent="0.45">
      <c r="A64">
        <v>25025070800</v>
      </c>
      <c r="B64">
        <v>26.145722439699998</v>
      </c>
    </row>
    <row r="65" spans="1:2" x14ac:dyDescent="0.45">
      <c r="A65">
        <v>25025130200</v>
      </c>
      <c r="B65">
        <v>110.5356396821</v>
      </c>
    </row>
    <row r="66" spans="1:2" x14ac:dyDescent="0.45">
      <c r="A66">
        <v>25025170702</v>
      </c>
      <c r="B66">
        <v>33.107901528299998</v>
      </c>
    </row>
    <row r="67" spans="1:2" x14ac:dyDescent="0.45">
      <c r="A67">
        <v>25025061000</v>
      </c>
      <c r="B67">
        <v>6.7366088189999997</v>
      </c>
    </row>
    <row r="68" spans="1:2" x14ac:dyDescent="0.45">
      <c r="A68">
        <v>25025010500</v>
      </c>
      <c r="B68">
        <v>53.625339937</v>
      </c>
    </row>
    <row r="69" spans="1:2" x14ac:dyDescent="0.45">
      <c r="A69">
        <v>25025060600</v>
      </c>
      <c r="B69">
        <v>13.7967880234</v>
      </c>
    </row>
    <row r="70" spans="1:2" x14ac:dyDescent="0.45">
      <c r="A70">
        <v>25025090700</v>
      </c>
      <c r="B70">
        <v>44.5746402507</v>
      </c>
    </row>
    <row r="71" spans="1:2" x14ac:dyDescent="0.45">
      <c r="A71">
        <v>25025170400</v>
      </c>
      <c r="B71">
        <v>95.961207530099998</v>
      </c>
    </row>
    <row r="72" spans="1:2" x14ac:dyDescent="0.45">
      <c r="A72">
        <v>25025990101</v>
      </c>
      <c r="B72">
        <v>5.7134470000000002E-4</v>
      </c>
    </row>
    <row r="73" spans="1:2" x14ac:dyDescent="0.45">
      <c r="A73">
        <v>25025010300</v>
      </c>
      <c r="B73">
        <v>2.5988979146000002</v>
      </c>
    </row>
    <row r="74" spans="1:2" x14ac:dyDescent="0.45">
      <c r="A74">
        <v>25025051101</v>
      </c>
      <c r="B74">
        <v>124.7365716202</v>
      </c>
    </row>
    <row r="75" spans="1:2" x14ac:dyDescent="0.45">
      <c r="A75">
        <v>25025100601</v>
      </c>
      <c r="B75">
        <v>41.774838836599997</v>
      </c>
    </row>
    <row r="76" spans="1:2" x14ac:dyDescent="0.45">
      <c r="A76">
        <v>25025070700</v>
      </c>
      <c r="B76">
        <v>15.298408956099999</v>
      </c>
    </row>
    <row r="77" spans="1:2" x14ac:dyDescent="0.45">
      <c r="A77">
        <v>25025000402</v>
      </c>
      <c r="B77">
        <v>33.020317109200001</v>
      </c>
    </row>
    <row r="78" spans="1:2" x14ac:dyDescent="0.45">
      <c r="A78">
        <v>25025000401</v>
      </c>
      <c r="B78">
        <v>367.96320159160001</v>
      </c>
    </row>
    <row r="79" spans="1:2" x14ac:dyDescent="0.45">
      <c r="A79">
        <v>25025010103</v>
      </c>
      <c r="B79">
        <v>2.9198197262000001</v>
      </c>
    </row>
    <row r="80" spans="1:2" x14ac:dyDescent="0.45">
      <c r="A80">
        <v>25025050901</v>
      </c>
      <c r="B80">
        <v>32.678708593700001</v>
      </c>
    </row>
    <row r="81" spans="1:2" x14ac:dyDescent="0.45">
      <c r="A81">
        <v>25025101102</v>
      </c>
      <c r="B81">
        <v>23.520295684400001</v>
      </c>
    </row>
    <row r="82" spans="1:2" x14ac:dyDescent="0.45">
      <c r="A82">
        <v>25025070101</v>
      </c>
      <c r="B82">
        <v>109.8980273447</v>
      </c>
    </row>
    <row r="83" spans="1:2" x14ac:dyDescent="0.45">
      <c r="A83">
        <v>25025140300</v>
      </c>
      <c r="B83">
        <v>103.0975231541</v>
      </c>
    </row>
    <row r="84" spans="1:2" x14ac:dyDescent="0.45">
      <c r="A84">
        <v>25025130300</v>
      </c>
      <c r="B84">
        <v>118.43376269389999</v>
      </c>
    </row>
    <row r="85" spans="1:2" x14ac:dyDescent="0.45">
      <c r="A85">
        <v>25025090300</v>
      </c>
      <c r="B85">
        <v>17.8478278565</v>
      </c>
    </row>
    <row r="86" spans="1:2" x14ac:dyDescent="0.45">
      <c r="A86">
        <v>25025010702</v>
      </c>
      <c r="B86">
        <v>29.171828598400001</v>
      </c>
    </row>
    <row r="87" spans="1:2" x14ac:dyDescent="0.45">
      <c r="A87">
        <v>25025081001</v>
      </c>
      <c r="B87">
        <v>44.601041958499998</v>
      </c>
    </row>
    <row r="88" spans="1:2" x14ac:dyDescent="0.45">
      <c r="A88">
        <v>25025000802</v>
      </c>
      <c r="B88">
        <v>25.283336557199998</v>
      </c>
    </row>
    <row r="89" spans="1:2" x14ac:dyDescent="0.45">
      <c r="A89">
        <v>25025100800</v>
      </c>
      <c r="B89">
        <v>97.526111201000006</v>
      </c>
    </row>
    <row r="90" spans="1:2" x14ac:dyDescent="0.45">
      <c r="A90">
        <v>25025010104</v>
      </c>
      <c r="B90">
        <v>34.5277449815</v>
      </c>
    </row>
    <row r="91" spans="1:2" x14ac:dyDescent="0.45">
      <c r="A91">
        <v>25025170601</v>
      </c>
      <c r="B91">
        <v>94.828848889</v>
      </c>
    </row>
    <row r="92" spans="1:2" x14ac:dyDescent="0.45">
      <c r="A92">
        <v>25025160502</v>
      </c>
      <c r="B92">
        <v>27.467369509499999</v>
      </c>
    </row>
    <row r="93" spans="1:2" x14ac:dyDescent="0.45">
      <c r="A93">
        <v>25025070402</v>
      </c>
      <c r="B93">
        <v>34.271313900599999</v>
      </c>
    </row>
    <row r="94" spans="1:2" x14ac:dyDescent="0.45">
      <c r="A94">
        <v>25025040401</v>
      </c>
      <c r="B94">
        <v>39.853803583100003</v>
      </c>
    </row>
    <row r="95" spans="1:2" x14ac:dyDescent="0.45">
      <c r="A95">
        <v>25025140102</v>
      </c>
      <c r="B95">
        <v>54.2458388453</v>
      </c>
    </row>
    <row r="96" spans="1:2" x14ac:dyDescent="0.45">
      <c r="A96">
        <v>25025160300</v>
      </c>
      <c r="B96">
        <v>81.120364682399995</v>
      </c>
    </row>
    <row r="97" spans="1:2" x14ac:dyDescent="0.45">
      <c r="A97">
        <v>25025000601</v>
      </c>
      <c r="B97">
        <v>53.316857906800003</v>
      </c>
    </row>
    <row r="98" spans="1:2" x14ac:dyDescent="0.45">
      <c r="A98">
        <v>25025050400</v>
      </c>
      <c r="B98">
        <v>39.120683665599998</v>
      </c>
    </row>
    <row r="99" spans="1:2" x14ac:dyDescent="0.45">
      <c r="A99">
        <v>25025100900</v>
      </c>
      <c r="B99">
        <v>33.2636136283</v>
      </c>
    </row>
    <row r="100" spans="1:2" x14ac:dyDescent="0.45">
      <c r="A100">
        <v>25025061200</v>
      </c>
      <c r="B100">
        <v>23.738376399700002</v>
      </c>
    </row>
    <row r="101" spans="1:2" x14ac:dyDescent="0.45">
      <c r="A101">
        <v>25025060400</v>
      </c>
      <c r="B101">
        <v>280.76753894989997</v>
      </c>
    </row>
    <row r="102" spans="1:2" x14ac:dyDescent="0.45">
      <c r="A102">
        <v>25025092400</v>
      </c>
      <c r="B102">
        <v>19.3325044682</v>
      </c>
    </row>
    <row r="103" spans="1:2" x14ac:dyDescent="0.45">
      <c r="A103">
        <v>25025010802</v>
      </c>
      <c r="B103">
        <v>25.787379726800001</v>
      </c>
    </row>
    <row r="104" spans="1:2" x14ac:dyDescent="0.45">
      <c r="A104">
        <v>25025981000</v>
      </c>
      <c r="B104">
        <v>6.6046340000000005E-4</v>
      </c>
    </row>
    <row r="105" spans="1:2" x14ac:dyDescent="0.45">
      <c r="A105">
        <v>25025120105</v>
      </c>
      <c r="B105">
        <v>93.045824590799995</v>
      </c>
    </row>
    <row r="106" spans="1:2" x14ac:dyDescent="0.45">
      <c r="A106">
        <v>25025010403</v>
      </c>
      <c r="B106">
        <v>33.902282765700001</v>
      </c>
    </row>
    <row r="107" spans="1:2" x14ac:dyDescent="0.45">
      <c r="A107">
        <v>25025160602</v>
      </c>
      <c r="B107">
        <v>56.425622353800001</v>
      </c>
    </row>
    <row r="108" spans="1:2" x14ac:dyDescent="0.45">
      <c r="A108">
        <v>25025050700</v>
      </c>
      <c r="B108">
        <v>25.843443998800002</v>
      </c>
    </row>
    <row r="109" spans="1:2" x14ac:dyDescent="0.45">
      <c r="A109">
        <v>25025101001</v>
      </c>
      <c r="B109">
        <v>53.862442565000002</v>
      </c>
    </row>
    <row r="110" spans="1:2" x14ac:dyDescent="0.45">
      <c r="A110">
        <v>25025092101</v>
      </c>
      <c r="B110">
        <v>55.658019750699999</v>
      </c>
    </row>
    <row r="111" spans="1:2" x14ac:dyDescent="0.45">
      <c r="A111">
        <v>25025170200</v>
      </c>
      <c r="B111">
        <v>130.7256746756</v>
      </c>
    </row>
    <row r="112" spans="1:2" x14ac:dyDescent="0.45">
      <c r="A112">
        <v>25025040600</v>
      </c>
      <c r="B112">
        <v>27.982579702700001</v>
      </c>
    </row>
    <row r="113" spans="1:2" x14ac:dyDescent="0.45">
      <c r="A113">
        <v>25025060501</v>
      </c>
      <c r="B113">
        <v>41.516429244000001</v>
      </c>
    </row>
    <row r="114" spans="1:2" x14ac:dyDescent="0.45">
      <c r="A114">
        <v>25025091300</v>
      </c>
      <c r="B114">
        <v>8.7123562447000005</v>
      </c>
    </row>
    <row r="115" spans="1:2" x14ac:dyDescent="0.45">
      <c r="A115">
        <v>25025010203</v>
      </c>
      <c r="B115">
        <v>42.592148609900001</v>
      </c>
    </row>
    <row r="116" spans="1:2" x14ac:dyDescent="0.45">
      <c r="A116">
        <v>25025010405</v>
      </c>
      <c r="B116">
        <v>18.013821335100001</v>
      </c>
    </row>
    <row r="117" spans="1:2" x14ac:dyDescent="0.45">
      <c r="A117">
        <v>25025060301</v>
      </c>
      <c r="B117">
        <v>57.256665030800001</v>
      </c>
    </row>
    <row r="118" spans="1:2" x14ac:dyDescent="0.45">
      <c r="A118">
        <v>25025080100</v>
      </c>
      <c r="B118">
        <v>9.8434627371999994</v>
      </c>
    </row>
    <row r="119" spans="1:2" x14ac:dyDescent="0.45">
      <c r="A119">
        <v>25025170501</v>
      </c>
      <c r="B119">
        <v>35.594945043700001</v>
      </c>
    </row>
    <row r="120" spans="1:2" x14ac:dyDescent="0.45">
      <c r="A120">
        <v>25025980700</v>
      </c>
      <c r="B120">
        <v>1.0296556101000001</v>
      </c>
    </row>
    <row r="121" spans="1:2" x14ac:dyDescent="0.45">
      <c r="A121">
        <v>25025981600</v>
      </c>
      <c r="B121">
        <v>7.921219E-4</v>
      </c>
    </row>
    <row r="122" spans="1:2" x14ac:dyDescent="0.45">
      <c r="A122">
        <v>25025091800</v>
      </c>
      <c r="B122">
        <v>14.531168942100001</v>
      </c>
    </row>
    <row r="123" spans="1:2" x14ac:dyDescent="0.45">
      <c r="A123">
        <v>25025110607</v>
      </c>
      <c r="B123">
        <v>330.022213787</v>
      </c>
    </row>
    <row r="124" spans="1:2" x14ac:dyDescent="0.45">
      <c r="A124">
        <v>25025981700</v>
      </c>
      <c r="B124">
        <v>7.7724870000000004E-4</v>
      </c>
    </row>
    <row r="125" spans="1:2" x14ac:dyDescent="0.45">
      <c r="A125">
        <v>25025081300</v>
      </c>
      <c r="B125">
        <v>30.5373803819</v>
      </c>
    </row>
    <row r="126" spans="1:2" x14ac:dyDescent="0.45">
      <c r="A126">
        <v>25025051000</v>
      </c>
      <c r="B126">
        <v>65.274189894499997</v>
      </c>
    </row>
    <row r="127" spans="1:2" x14ac:dyDescent="0.45">
      <c r="A127">
        <v>25025120103</v>
      </c>
      <c r="B127">
        <v>11.765695040200001</v>
      </c>
    </row>
    <row r="128" spans="1:2" x14ac:dyDescent="0.45">
      <c r="A128">
        <v>25025110201</v>
      </c>
      <c r="B128">
        <v>8.8241256424000003</v>
      </c>
    </row>
    <row r="129" spans="1:2" x14ac:dyDescent="0.45">
      <c r="A129">
        <v>25025120104</v>
      </c>
      <c r="B129">
        <v>10.530230409</v>
      </c>
    </row>
    <row r="130" spans="1:2" x14ac:dyDescent="0.45">
      <c r="A130">
        <v>25025170100</v>
      </c>
      <c r="B130">
        <v>275.49576814879998</v>
      </c>
    </row>
    <row r="131" spans="1:2" x14ac:dyDescent="0.45">
      <c r="A131">
        <v>25025170502</v>
      </c>
      <c r="B131">
        <v>144.8895745236</v>
      </c>
    </row>
    <row r="132" spans="1:2" x14ac:dyDescent="0.45">
      <c r="A132">
        <v>25025051200</v>
      </c>
      <c r="B132">
        <v>31.921579195700001</v>
      </c>
    </row>
    <row r="133" spans="1:2" x14ac:dyDescent="0.45">
      <c r="A133">
        <v>25025000100</v>
      </c>
      <c r="B133">
        <v>41.968147164199998</v>
      </c>
    </row>
    <row r="134" spans="1:2" x14ac:dyDescent="0.45">
      <c r="A134">
        <v>25025030300</v>
      </c>
      <c r="B134">
        <v>152.40193219669999</v>
      </c>
    </row>
    <row r="135" spans="1:2" x14ac:dyDescent="0.45">
      <c r="A135">
        <v>25025040200</v>
      </c>
      <c r="B135">
        <v>13.677041039200001</v>
      </c>
    </row>
    <row r="136" spans="1:2" x14ac:dyDescent="0.45">
      <c r="A136">
        <v>25025061101</v>
      </c>
      <c r="B136">
        <v>5.7139268606</v>
      </c>
    </row>
    <row r="137" spans="1:2" x14ac:dyDescent="0.45">
      <c r="A137">
        <v>25025081500</v>
      </c>
      <c r="B137">
        <v>12.798464360300001</v>
      </c>
    </row>
    <row r="138" spans="1:2" x14ac:dyDescent="0.45">
      <c r="A138">
        <v>25025060200</v>
      </c>
      <c r="B138">
        <v>33.196886339599999</v>
      </c>
    </row>
    <row r="139" spans="1:2" x14ac:dyDescent="0.45">
      <c r="A139">
        <v>25025020301</v>
      </c>
      <c r="B139">
        <v>65.403858382999999</v>
      </c>
    </row>
    <row r="140" spans="1:2" x14ac:dyDescent="0.45">
      <c r="A140">
        <v>25025180301</v>
      </c>
      <c r="B140">
        <v>50.077894495199999</v>
      </c>
    </row>
    <row r="141" spans="1:2" x14ac:dyDescent="0.45">
      <c r="A141">
        <v>25025090901</v>
      </c>
      <c r="B141">
        <v>6.8611720184999996</v>
      </c>
    </row>
    <row r="142" spans="1:2" x14ac:dyDescent="0.45">
      <c r="A142">
        <v>25025081700</v>
      </c>
      <c r="B142">
        <v>29.878299478700001</v>
      </c>
    </row>
    <row r="143" spans="1:2" x14ac:dyDescent="0.45">
      <c r="A143">
        <v>25025081900</v>
      </c>
      <c r="B143">
        <v>24.006549560900002</v>
      </c>
    </row>
    <row r="144" spans="1:2" x14ac:dyDescent="0.45">
      <c r="A144">
        <v>25025071101</v>
      </c>
      <c r="B144">
        <v>37.695568978600001</v>
      </c>
    </row>
    <row r="145" spans="1:2" x14ac:dyDescent="0.45">
      <c r="A145">
        <v>25025120301</v>
      </c>
      <c r="B145">
        <v>44.128640316099997</v>
      </c>
    </row>
    <row r="146" spans="1:2" x14ac:dyDescent="0.45">
      <c r="A146">
        <v>25025091400</v>
      </c>
      <c r="B146">
        <v>10.1526517858</v>
      </c>
    </row>
    <row r="147" spans="1:2" x14ac:dyDescent="0.45">
      <c r="A147">
        <v>25025170701</v>
      </c>
      <c r="B147">
        <v>29.920692376400002</v>
      </c>
    </row>
    <row r="148" spans="1:2" x14ac:dyDescent="0.45">
      <c r="A148">
        <v>25025160501</v>
      </c>
      <c r="B148">
        <v>27.4672009248</v>
      </c>
    </row>
    <row r="149" spans="1:2" x14ac:dyDescent="0.45">
      <c r="A149">
        <v>25025100400</v>
      </c>
      <c r="B149">
        <v>34.7459617373</v>
      </c>
    </row>
    <row r="150" spans="1:2" x14ac:dyDescent="0.45">
      <c r="A150">
        <v>25025110502</v>
      </c>
      <c r="B150">
        <v>50.340116613600003</v>
      </c>
    </row>
    <row r="151" spans="1:2" x14ac:dyDescent="0.45">
      <c r="A151">
        <v>25025980101</v>
      </c>
      <c r="B151">
        <v>3.5114599999999997E-5</v>
      </c>
    </row>
    <row r="152" spans="1:2" x14ac:dyDescent="0.45">
      <c r="A152">
        <v>25025000503</v>
      </c>
      <c r="B152">
        <v>29.715907207499999</v>
      </c>
    </row>
    <row r="153" spans="1:2" x14ac:dyDescent="0.45">
      <c r="A153">
        <v>25025000803</v>
      </c>
      <c r="B153">
        <v>4.2905637486000003</v>
      </c>
    </row>
    <row r="154" spans="1:2" x14ac:dyDescent="0.45">
      <c r="A154">
        <v>25025000704</v>
      </c>
      <c r="B154">
        <v>18.213851453699998</v>
      </c>
    </row>
    <row r="155" spans="1:2" x14ac:dyDescent="0.45">
      <c r="A155">
        <v>25025101101</v>
      </c>
      <c r="B155">
        <v>28.579123007900002</v>
      </c>
    </row>
    <row r="156" spans="1:2" x14ac:dyDescent="0.45">
      <c r="A156">
        <v>25025120700</v>
      </c>
      <c r="B156">
        <v>39.581282302399998</v>
      </c>
    </row>
    <row r="157" spans="1:2" x14ac:dyDescent="0.45">
      <c r="A157">
        <v>25025080500</v>
      </c>
      <c r="B157">
        <v>6.9564810026000004</v>
      </c>
    </row>
    <row r="158" spans="1:2" x14ac:dyDescent="0.45">
      <c r="A158">
        <v>25025081400</v>
      </c>
      <c r="B158">
        <v>35.809864364100001</v>
      </c>
    </row>
    <row r="159" spans="1:2" x14ac:dyDescent="0.45">
      <c r="A159">
        <v>25025070500</v>
      </c>
      <c r="B159">
        <v>49.996065860000002</v>
      </c>
    </row>
    <row r="160" spans="1:2" x14ac:dyDescent="0.45">
      <c r="A160">
        <v>25025981501</v>
      </c>
      <c r="B160">
        <v>5.7642710000000005E-4</v>
      </c>
    </row>
    <row r="161" spans="1:2" x14ac:dyDescent="0.45">
      <c r="A161">
        <v>25025091001</v>
      </c>
      <c r="B161">
        <v>37.258157876600002</v>
      </c>
    </row>
    <row r="162" spans="1:2" x14ac:dyDescent="0.45">
      <c r="A162">
        <v>25025080401</v>
      </c>
      <c r="B162">
        <v>11.5060375911</v>
      </c>
    </row>
    <row r="163" spans="1:2" x14ac:dyDescent="0.45">
      <c r="A163">
        <v>25025081200</v>
      </c>
      <c r="B163">
        <v>8.8635488228000003</v>
      </c>
    </row>
    <row r="164" spans="1:2" x14ac:dyDescent="0.45">
      <c r="A164">
        <v>25025000502</v>
      </c>
      <c r="B164">
        <v>37.1350722293</v>
      </c>
    </row>
    <row r="165" spans="1:2" x14ac:dyDescent="0.45">
      <c r="A165">
        <v>25025060700</v>
      </c>
      <c r="B165">
        <v>1.3023478784</v>
      </c>
    </row>
    <row r="166" spans="1:2" x14ac:dyDescent="0.45">
      <c r="A166">
        <v>25025091900</v>
      </c>
      <c r="B166">
        <v>19.6106279824</v>
      </c>
    </row>
    <row r="167" spans="1:2" x14ac:dyDescent="0.45">
      <c r="A167">
        <v>25025080300</v>
      </c>
      <c r="B167">
        <v>6.9214151378000004</v>
      </c>
    </row>
    <row r="168" spans="1:2" x14ac:dyDescent="0.45">
      <c r="A168">
        <v>25025110403</v>
      </c>
      <c r="B168">
        <v>51.305636084299998</v>
      </c>
    </row>
    <row r="169" spans="1:2" x14ac:dyDescent="0.45">
      <c r="A169">
        <v>25025101002</v>
      </c>
      <c r="B169">
        <v>42.243829158200001</v>
      </c>
    </row>
    <row r="170" spans="1:2" x14ac:dyDescent="0.45">
      <c r="A170">
        <v>25025020303</v>
      </c>
      <c r="B170">
        <v>61.846178090499997</v>
      </c>
    </row>
    <row r="171" spans="1:2" x14ac:dyDescent="0.45">
      <c r="A171">
        <v>25025981201</v>
      </c>
      <c r="B171">
        <v>7.6975199999999996E-4</v>
      </c>
    </row>
    <row r="172" spans="1:2" x14ac:dyDescent="0.45">
      <c r="A172">
        <v>25025000302</v>
      </c>
      <c r="B172">
        <v>46.4358715352</v>
      </c>
    </row>
    <row r="173" spans="1:2" x14ac:dyDescent="0.45">
      <c r="A173">
        <v>25025160400</v>
      </c>
      <c r="B173">
        <v>6.7524417693999998</v>
      </c>
    </row>
    <row r="174" spans="1:2" x14ac:dyDescent="0.45">
      <c r="A174">
        <v>25025030500</v>
      </c>
      <c r="B174">
        <v>32.974376939000003</v>
      </c>
    </row>
    <row r="175" spans="1:2" x14ac:dyDescent="0.45">
      <c r="A175">
        <v>25025082000</v>
      </c>
      <c r="B175">
        <v>26.2108266736</v>
      </c>
    </row>
    <row r="176" spans="1:2" x14ac:dyDescent="0.45">
      <c r="A176">
        <v>25025110501</v>
      </c>
      <c r="B176">
        <v>52.532240611799999</v>
      </c>
    </row>
    <row r="177" spans="1:2" x14ac:dyDescent="0.45">
      <c r="A177">
        <v>25025030100</v>
      </c>
      <c r="B177">
        <v>53.420454372499997</v>
      </c>
    </row>
    <row r="178" spans="1:2" x14ac:dyDescent="0.45">
      <c r="A178">
        <v>25025020302</v>
      </c>
      <c r="B178">
        <v>6.1889039727000004</v>
      </c>
    </row>
    <row r="179" spans="1:2" x14ac:dyDescent="0.45">
      <c r="A179">
        <v>25025040100</v>
      </c>
      <c r="B179">
        <v>36.578911037200001</v>
      </c>
    </row>
    <row r="180" spans="1:2" x14ac:dyDescent="0.45">
      <c r="A180">
        <v>25025071201</v>
      </c>
      <c r="B180">
        <v>27.937016808799999</v>
      </c>
    </row>
    <row r="181" spans="1:2" x14ac:dyDescent="0.45">
      <c r="A181">
        <v>25025160101</v>
      </c>
      <c r="B181">
        <v>40.5754128126</v>
      </c>
    </row>
    <row r="182" spans="1:2" x14ac:dyDescent="0.45">
      <c r="A182">
        <v>25025081100</v>
      </c>
      <c r="B182">
        <v>141.7220669877</v>
      </c>
    </row>
    <row r="183" spans="1:2" x14ac:dyDescent="0.45">
      <c r="A183">
        <v>25025120500</v>
      </c>
      <c r="B183">
        <v>20.7941680317</v>
      </c>
    </row>
    <row r="184" spans="1:2" x14ac:dyDescent="0.45">
      <c r="A184">
        <v>25025091700</v>
      </c>
      <c r="B184">
        <v>11.434181390199999</v>
      </c>
    </row>
    <row r="185" spans="1:2" x14ac:dyDescent="0.45">
      <c r="A185">
        <v>25025160601</v>
      </c>
      <c r="B185">
        <v>62.063646386800002</v>
      </c>
    </row>
    <row r="186" spans="1:2" x14ac:dyDescent="0.45">
      <c r="A186">
        <v>25025090200</v>
      </c>
      <c r="B186">
        <v>7.1610751462</v>
      </c>
    </row>
    <row r="187" spans="1:2" x14ac:dyDescent="0.45">
      <c r="A187">
        <v>25025040801</v>
      </c>
      <c r="B187">
        <v>33.787023433500003</v>
      </c>
    </row>
    <row r="188" spans="1:2" x14ac:dyDescent="0.45">
      <c r="A188">
        <v>25025170800</v>
      </c>
      <c r="B188">
        <v>76.399868627000004</v>
      </c>
    </row>
    <row r="189" spans="1:2" x14ac:dyDescent="0.45">
      <c r="A189">
        <v>25025080601</v>
      </c>
      <c r="B189">
        <v>3.2251438288999998</v>
      </c>
    </row>
    <row r="190" spans="1:2" x14ac:dyDescent="0.45">
      <c r="A190">
        <v>25025050500</v>
      </c>
      <c r="B190">
        <v>6.3807031179999996</v>
      </c>
    </row>
    <row r="191" spans="1:2" x14ac:dyDescent="0.45">
      <c r="A191">
        <v>25025140201</v>
      </c>
      <c r="B191">
        <v>25.7333667738</v>
      </c>
    </row>
    <row r="192" spans="1:2" x14ac:dyDescent="0.45">
      <c r="A192">
        <v>25025980300</v>
      </c>
      <c r="B192">
        <v>0.19547750329999999</v>
      </c>
    </row>
    <row r="193" spans="1:2" x14ac:dyDescent="0.45">
      <c r="A193">
        <v>25025000504</v>
      </c>
      <c r="B193">
        <v>244.90157364660001</v>
      </c>
    </row>
    <row r="194" spans="1:2" x14ac:dyDescent="0.45">
      <c r="A194">
        <v>25025081800</v>
      </c>
      <c r="B194">
        <v>24.976394197400001</v>
      </c>
    </row>
    <row r="195" spans="1:2" x14ac:dyDescent="0.45">
      <c r="A195">
        <v>25025000201</v>
      </c>
      <c r="B195">
        <v>43.341927822899997</v>
      </c>
    </row>
    <row r="196" spans="1:2" x14ac:dyDescent="0.45">
      <c r="A196">
        <v>25025000703</v>
      </c>
      <c r="B196">
        <v>2.1229580578</v>
      </c>
    </row>
    <row r="197" spans="1:2" x14ac:dyDescent="0.45">
      <c r="A197">
        <v>25025140105</v>
      </c>
      <c r="B197">
        <v>45.874073267199996</v>
      </c>
    </row>
    <row r="198" spans="1:2" x14ac:dyDescent="0.45">
      <c r="A198">
        <v>25025092000</v>
      </c>
      <c r="B198">
        <v>35.2968053106</v>
      </c>
    </row>
    <row r="199" spans="1:2" x14ac:dyDescent="0.45">
      <c r="A199">
        <v>25025120400</v>
      </c>
      <c r="B199">
        <v>76.696548931699994</v>
      </c>
    </row>
    <row r="200" spans="1:2" x14ac:dyDescent="0.45">
      <c r="A200">
        <v>25025090100</v>
      </c>
      <c r="B200">
        <v>25.881515668500001</v>
      </c>
    </row>
    <row r="201" spans="1:2" x14ac:dyDescent="0.45">
      <c r="A201">
        <v>25025092300</v>
      </c>
      <c r="B201">
        <v>12.1667333179</v>
      </c>
    </row>
    <row r="202" spans="1:2" x14ac:dyDescent="0.45">
      <c r="A202">
        <v>25025010408</v>
      </c>
      <c r="B202">
        <v>5.0254189058999996</v>
      </c>
    </row>
    <row r="203" spans="1:2" x14ac:dyDescent="0.45">
      <c r="A203">
        <v>25025020200</v>
      </c>
      <c r="B203">
        <v>23.475479200999999</v>
      </c>
    </row>
    <row r="204" spans="1:2" x14ac:dyDescent="0.45">
      <c r="A204">
        <v>25025091100</v>
      </c>
      <c r="B204">
        <v>36.378787680599999</v>
      </c>
    </row>
    <row r="205" spans="1:2" x14ac:dyDescent="0.45">
      <c r="A205">
        <v>25025100603</v>
      </c>
      <c r="B205">
        <v>48.864583843200002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Configuration</vt:lpstr>
      <vt:lpstr>SAMPLE_State_Population</vt:lpstr>
      <vt:lpstr>SAMPLE_County_Median_HHI</vt:lpstr>
      <vt:lpstr>SAMPLE_Tract_NW_Qualified_HH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mjcla</dc:creator>
  <cp:lastModifiedBy>mjcla</cp:lastModifiedBy>
  <dcterms:created xsi:type="dcterms:W3CDTF">2019-01-22T16:08:36Z</dcterms:created>
  <dcterms:modified xsi:type="dcterms:W3CDTF">2019-01-22T18:37:53Z</dcterms:modified>
</cp:coreProperties>
</file>